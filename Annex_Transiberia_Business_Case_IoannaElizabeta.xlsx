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s" sheetId="1" r:id="rId5"/>
    <sheet state="visible" name="SilverTrust Cost Detail" sheetId="2" r:id="rId6"/>
    <sheet state="visible" name="n8n Running Costs" sheetId="3" r:id="rId7"/>
    <sheet state="visible" name="Revenue Estimate" sheetId="4" r:id="rId8"/>
    <sheet state="visible" name="Calculations" sheetId="5" r:id="rId9"/>
    <sheet state="visible" name="Systems Cost &amp; Net ROI"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2">
      <text>
        <t xml:space="preserve">No severity distribution was provided. Adjust once real claims history is available.</t>
      </text>
    </comment>
    <comment authorId="0" ref="B31">
      <text>
        <t xml:space="preserve">Stated worst-case liability, not an average.</t>
      </text>
    </comment>
    <comment authorId="0" ref="B30">
      <text>
        <t xml:space="preserve">Cargo damage or total loss — a separate, rarer tier from routine exceptions.</t>
      </text>
    </comment>
    <comment authorId="0" ref="B62">
      <text>
        <t xml:space="preserve">Forward deployed engineer — embedded, client-facing technical role owning the n8n stack, AI nodes and integrations day-to-day; a step up in seniority from a general maintenance/support hire.</t>
      </text>
    </comment>
    <comment authorId="0" ref="B22">
      <text>
        <t xml:space="preserve">National + regional/local holidays — upper end of the typical range.</t>
      </text>
    </comment>
    <comment authorId="0" ref="B54">
      <text>
        <t xml:space="preserve">Live link to the 'n8n Running Costs' tab (VPS hosting, WhatsApp templates, GPS tracking, Sheets API).</t>
      </text>
    </comment>
    <comment authorId="0" ref="B21">
      <text>
        <t xml:space="preserve">30 calendar days of statutory leave ≈ 22 working days.</t>
      </text>
    </comment>
    <comment authorId="0" ref="B20">
      <text>
        <t xml:space="preserve">A reduction to 37.5 hours/week has been proposed in Spain but was not yet in force at the time of this model.</t>
      </text>
    </comment>
    <comment authorId="0" ref="B52">
      <text>
        <t xml:space="preserve">Live link to the 'n8n Running Costs' tab (server setup, WhatsApp/Meta verification, GPS hardware, AI prompt/model design).</t>
      </text>
    </comment>
    <comment authorId="0" ref="B18">
      <text>
        <t xml:space="preserve">No external benchmark used for this line — a modest planning loading on top of payroll tax.</t>
      </text>
    </comment>
    <comment authorId="0" ref="B17">
      <text>
        <t xml:space="preserve">Precise figure is ≈30.57% (common contingencies + unemployment + FOGASA + training + MEI); rounded to 30% for modeling.</t>
      </text>
    </comment>
    <comment authorId="0" ref="B16">
      <text>
        <t xml:space="preserve">Matches the median of 50 Glassdoor salary submissions for this exact role/location — used as reported, not re-estimated.</t>
      </text>
    </comment>
    <comment authorId="0" ref="B13">
      <text>
        <t xml:space="preserve">Client's own stated KPI target.</t>
      </text>
    </comment>
    <comment authorId="0" ref="B45">
      <text>
        <t xml:space="preserve">Same 15% contingency shown on the proposal's cost table.</t>
      </text>
    </comment>
    <comment authorId="0" ref="B12">
      <text>
        <t xml:space="preserve">Mostly elapsed/waiting time, not active labor hours — treated as a cycle-time KPI, not a labor cost multiplier.</t>
      </text>
    </comment>
    <comment authorId="0" ref="B44">
      <text>
        <t xml:space="preserve">Bottom-up day-rate build across 4 phases (Discovery, Infrastructure, AI Nodes, Testing/Pilot/Handover) — see the 'SilverTrust Cost Detail' tab for the full task-by-task breakdown.</t>
      </text>
    </comment>
    <comment authorId="0" ref="B11">
      <text>
        <t xml:space="preserve">Client's own stated KPI target.</t>
      </text>
    </comment>
    <comment authorId="0" ref="B39">
      <text>
        <t xml:space="preserve">Client stated +25% as the growth target; +50% is SilverTrust's own upside scenario for range-planning, not a client figure.</t>
      </text>
    </comment>
    <comment authorId="0" ref="B37">
      <text>
        <t xml:space="preserve">NOT PROVIDED BY CLIENT. This cell currently links to the 'Revenue Estimate' tab (two triangulated methods, see sources there). If Marc provides the real figure, delete the formula and type the actual number here instead.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SilverTrust's boutique/freelance tier: €400–600/day — Spain/Portugal/Eastern EU rates. Benchmarked against [5] YunoJuno 2025 Freelancer Rates Report, [6] goLance AI Consultant Rate Guide 2026, [7] EU SME AI Consulting Market 2026 (see Assumptions tab sources).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Consulting time + hardware + Meta verification + GPS devices (20–30 units).</t>
      </text>
    </comment>
    <comment authorId="0" ref="C29">
      <text>
        <t xml:space="preserve">On equivalent functionality. n8n self-hosted has no execution limits, no per-seat fees, no vendor lock-in.</t>
      </text>
    </comment>
    <comment authorId="0" ref="C27">
      <text>
        <t xml:space="preserve">For equivalent functionality — before any implementation cost.</t>
      </text>
    </comment>
    <comment authorId="0" ref="C22">
      <text>
        <t xml:space="preserve">Scales to €1,800–2,700/month if GPS extended to full 100-vehicle coverage.</t>
      </text>
    </comment>
    <comment authorId="0" ref="C21">
      <text>
        <t xml:space="preserve">VPS + WhatsApp templates + GPS tracking (20–30 key carriers).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
      <text>
        <t xml:space="preserve">SILVERTRUST ASSUMPTION — illustrative, not independently sourced. A full trailer is ~13.6 LDM; 8 assumes a substantial part-load, consistent with a groupage coordinator.</t>
      </text>
    </comment>
    <comment authorId="0" ref="B12">
      <text>
        <t xml:space="preserve">EXTERNAL SOURCE [5] — Trans-road European Road Freight Rate Benchmark, Spain→Portugal corridor (see Sources below).</t>
      </text>
    </comment>
    <comment authorId="0" ref="B11">
      <text>
        <t xml:space="preserve">EXTERNAL SOURCE [5] — Trans-road European Road Freight Rate Benchmark, Spain→Portugal corridor (see Sources below).</t>
      </text>
    </comment>
    <comment authorId="0" ref="B6">
      <text>
        <t xml:space="preserve">SILVERTRUST ASSUMPTION — illustrative, not independently sourced. Client said 'non-profitable and burning cash' but gave no loss figure; 15% is a moderate-distress placeholder.</t>
      </text>
    </comment>
  </commentList>
</comments>
</file>

<file path=xl/sharedStrings.xml><?xml version="1.0" encoding="utf-8"?>
<sst xmlns="http://schemas.openxmlformats.org/spreadsheetml/2006/main" count="503" uniqueCount="422">
  <si>
    <t>SilverTrust Cost Detail — Day-Rate Card &amp; Effort by Phase (Boutique Tier)</t>
  </si>
  <si>
    <t>n8n Running Costs — Client-Side, Per Integration</t>
  </si>
  <si>
    <t>Transiberia — Business Case Assumptions</t>
  </si>
  <si>
    <t>Editable inputs (blue) drive every formula on the Calculations tab. Column D shows where every number comes from — client-stated, a numbered external benchmark (full citation at the bottom of this tab), or a SilverTrust planning assumption. Yellow = please confirm/complete with Marc.</t>
  </si>
  <si>
    <t>Per-component setup and recurring cost for the self-hosted n8n architecture — from the SilverTrust n8n Cost Breakdown doc. Component figures below are for reference/traceability (some are single values, some ranges, some conditional on device count — not summed component-by-component). The TOTAL COST SUMMARY at the bottom uses the doc's own official totals as blue inputs, and is what links back to the Assumptions tab.</t>
  </si>
  <si>
    <t>Bottom-up build of SilverTrust's fee: SilverTrust's boutique-tier day rates (blue, Section A) applied to the estimated effort for each phase (days in blue, Sections B–E). Extended cost and phase subtotals are formulas — matches the task-by-task breakdown in the Consultancy Build Cost document. Section G benchmarks this against mid-market and Big 4 pricing for the same scope. This is SilverTrust's internal planning model — the commercial price quoted to Transiberia is the fixed figure on the proposal's 'Investment &amp; Cost Estimate' slide (and the Assumptions tab); remove this tab before sharing the file externally if it isn't meant for the client.</t>
  </si>
  <si>
    <t>Input</t>
  </si>
  <si>
    <t>Item</t>
  </si>
  <si>
    <t>Component</t>
  </si>
  <si>
    <t>What it is / notes</t>
  </si>
  <si>
    <t>Value</t>
  </si>
  <si>
    <t>Rate / Days</t>
  </si>
  <si>
    <t>Setup cost</t>
  </si>
  <si>
    <t>Unit</t>
  </si>
  <si>
    <t>Days</t>
  </si>
  <si>
    <t>Monthly</t>
  </si>
  <si>
    <t>Source / basis</t>
  </si>
  <si>
    <t>AI consultant can do it?</t>
  </si>
  <si>
    <t>Extended Cost</t>
  </si>
  <si>
    <t>CURRENT OPERATIONS (client-stated, from the interview &amp; proposal)</t>
  </si>
  <si>
    <t>Notes / basis</t>
  </si>
  <si>
    <t>n8n (self-hosted) on Linux VPS</t>
  </si>
  <si>
    <t>A — SILVERTRUST DAY-RATE CARD (BOUTIQUE / FREELANCE TIER)</t>
  </si>
  <si>
    <t>Revenue Estimate — Not Provided by Client</t>
  </si>
  <si>
    <t>Hetzner CX32: 4 vCPU, 8GB RAM, 80GB SSD. Docker + nginx + SSL. Community Edition: unlimited workflows/executions, no licence fee.</t>
  </si>
  <si>
    <t>Sr Consultant</t>
  </si>
  <si>
    <t>~€150 (server setup)</t>
  </si>
  <si>
    <t>€12–20 (Hetzner VPS)</t>
  </si>
  <si>
    <t>Transiberia's interview gave margin % and admin cost, but no revenue figure. This tab triangulates an estimate from two independent methods so the business case isn't blocked on it — replace with the real number as soon as you have it.</t>
  </si>
  <si>
    <t>YES</t>
  </si>
  <si>
    <t>Weekly loads</t>
  </si>
  <si>
    <t>€/day</t>
  </si>
  <si>
    <t>PostgreSQL (same server)</t>
  </si>
  <si>
    <t>Historical loads, carrier scores, route baselines, exception log. Installed via Docker. No additional licence.</t>
  </si>
  <si>
    <t>METHOD 1 — MARGIN-ANCHORED (Transiberia's own stated numbers)</t>
  </si>
  <si>
    <t>Included in VPS setup</t>
  </si>
  <si>
    <t>€0 (same server)</t>
  </si>
  <si>
    <t>Ollama — local LLM (same server)</t>
  </si>
  <si>
    <t>loads/week</t>
  </si>
  <si>
    <t>Runs open-source models (Llama 3, Mistral, Qwen) locally. Free software. 7B model on 8GB RAM sufficient at this volume. No API cost.</t>
  </si>
  <si>
    <t>Client — Transiberia interview</t>
  </si>
  <si>
    <t>€0 software + config time</t>
  </si>
  <si>
    <t>Operating weeks per year</t>
  </si>
  <si>
    <t>€0 (electricity only)</t>
  </si>
  <si>
    <t>YES (with ML basics)</t>
  </si>
  <si>
    <t>SilverTrust standard day-rate card — illustrative, confirm current published rates before quoting</t>
  </si>
  <si>
    <t>weeks</t>
  </si>
  <si>
    <t>Standard — calendar year</t>
  </si>
  <si>
    <t>WhatsApp Business API (Meta direct)</t>
  </si>
  <si>
    <t>Technical Lead</t>
  </si>
  <si>
    <t>Current employees</t>
  </si>
  <si>
    <t>Meta Cloud API — free access. Inbound &amp; 24h-window replies free. Utility templates (ES/PT) ~€0.04–0.06/msg. ~500 outbound templates/week.</t>
  </si>
  <si>
    <t>people</t>
  </si>
  <si>
    <t>~€200 (Meta verification + setup)</t>
  </si>
  <si>
    <t>€80–120 (template messages)</t>
  </si>
  <si>
    <t>Lost hours/week — low</t>
  </si>
  <si>
    <t>PARTIAL (Meta approval needed)</t>
  </si>
  <si>
    <t>Consultant</t>
  </si>
  <si>
    <t>Total administrative cost (annual)</t>
  </si>
  <si>
    <t>Google Sheets API</t>
  </si>
  <si>
    <t>Live ops dashboard, one row per load. n8n native node. Included in Google Workspace Business Starter if already held.</t>
  </si>
  <si>
    <t>AI Specialist</t>
  </si>
  <si>
    <t>€0 (n8n native node)</t>
  </si>
  <si>
    <t>€0–6 (if Workspace not held)</t>
  </si>
  <si>
    <t>hours</t>
  </si>
  <si>
    <t>Client — Transiberia interview (firefighting/reactive time)</t>
  </si>
  <si>
    <t>SAP email integration</t>
  </si>
  <si>
    <t>Lost hours/week — high</t>
  </si>
  <si>
    <t>n8n IMAP/SMTP node reads emails from SAP-authorised sender; validates sender + template before processing. No SAP API or BTP needed — works with any SAP version that can send email.</t>
  </si>
  <si>
    <t>€0 (n8n IMAP node)</t>
  </si>
  <si>
    <t>€0</t>
  </si>
  <si>
    <t>SilverTrust's boutique/freelance tier: €400–600/day — Spain/Portugal/Eastern EU rates. Benchmarked against [5] YunoJuno 2025 Freelancer Rates Report, [6] goLance AI Consultant Rate Guide 2026, [7] EU SME AI Consulting Market 2026 (see Assumptions tab sources).</t>
  </si>
  <si>
    <t>Current operational cost per load</t>
  </si>
  <si>
    <t>GPS — Webfleet (TomTom), recommended</t>
  </si>
  <si>
    <t>B — PHASE 0: DISCOVERY &amp; ASSESSMENT (Wks 1–4)</t>
  </si>
  <si>
    <t>Best fit ES/PT. Carrier installs OBD device (~€80 one-off) or uses free Webfleet app. Webfleet API → n8n webhook every 5 min. 20–30 key vehicles.</t>
  </si>
  <si>
    <t>€80/device (OBD) or €0 (app)</t>
  </si>
  <si>
    <t>€300–500 (20–30 key vehicles)</t>
  </si>
  <si>
    <t>€/load</t>
  </si>
  <si>
    <t>PARTIAL (API config yes; carrier onboarding: ops)</t>
  </si>
  <si>
    <t>Process audit</t>
  </si>
  <si>
    <t>Target operational cost per load</t>
  </si>
  <si>
    <t>GPS — Teltonika, alternative</t>
  </si>
  <si>
    <t>Cheaper hardware option (~€60–90/device). Open REST/MQTT API — no per-vehicle fee beyond SIM (~€3–5/mo/device). Better long-term cost control. Alternative to Webfleet, not additive.</t>
  </si>
  <si>
    <t>€60–90/device + SIM setup</t>
  </si>
  <si>
    <t>Client — stated target (€80 → €40/load)</t>
  </si>
  <si>
    <t>€60–150 (20–30 devices + SIM)</t>
  </si>
  <si>
    <t>Current carrier assignment time</t>
  </si>
  <si>
    <t>PARTIAL (hardware install: ops)</t>
  </si>
  <si>
    <t>Route baseline (HERE Routing API)</t>
  </si>
  <si>
    <t>Client — stated current state</t>
  </si>
  <si>
    <t>Pre-calculates expected route/distance/ETA per load at booking. 250,000 free requests/month; ~4,000 calcs/month at this volume — comfortably within free tier.</t>
  </si>
  <si>
    <t>Target carrier assignment time</t>
  </si>
  <si>
    <t>€0 (free tier)</t>
  </si>
  <si>
    <t>Client — stated target (8h → 2h)</t>
  </si>
  <si>
    <t>AI — doc extraction (Ollama/LLM)</t>
  </si>
  <si>
    <t>LABOR COST — BARCELONA</t>
  </si>
  <si>
    <t>Extracts carrier, load ref, origin, destination, weight, rate, ETA from PDF CMRs, rate confirmations, WhatsApp messages. Runs locally — zero ongoing cost.</t>
  </si>
  <si>
    <t>~€600 (prompt design + testing)</t>
  </si>
  <si>
    <t>€0 (local LLM)</t>
  </si>
  <si>
    <t>YES (prompt eng. skill needed)</t>
  </si>
  <si>
    <t>Gross annual salary — ops/admin role</t>
  </si>
  <si>
    <t>AI — exception classifier (Ollama/LLM)</t>
  </si>
  <si>
    <t>€/year</t>
  </si>
  <si>
    <t>Classifies each message/GPS deviation: on-track, likely late, confirmed late, missing, possible fraud, needs human review. n8n AI node → local Ollama.</t>
  </si>
  <si>
    <t>External [1] Glassdoor — Logistics Coordinator, Barcelona (median)</t>
  </si>
  <si>
    <t>~€500 (classifier design + test)</t>
  </si>
  <si>
    <t>Employer social security rate (Spain)</t>
  </si>
  <si>
    <t>YES (AI consultant core skill)</t>
  </si>
  <si>
    <t>AI — carrier scorer</t>
  </si>
  <si>
    <t>Scores/ranks available carriers by lane history, on-time rate, exception rate, capacity. SQL on PostgreSQL + lightweight Python ranking. No GPU needed.</t>
  </si>
  <si>
    <t>~€800 (model build + training data)</t>
  </si>
  <si>
    <t>€0 (SQL + Python)</t>
  </si>
  <si>
    <t>YES (Python + SQL required)</t>
  </si>
  <si>
    <t>% of salary</t>
  </si>
  <si>
    <t>External [2] Centre Gestor — Spain employer SS contributions</t>
  </si>
  <si>
    <t>Dispatcher alert interface</t>
  </si>
  <si>
    <t>Other overhead loading (equipment, IT, etc.)</t>
  </si>
  <si>
    <t>Alerts via email (n8n native) and WhatsApp: load ref, AI classification, confidence score, recommended action, Sheets link. No separate app/dashboard.</t>
  </si>
  <si>
    <t>€0 (n8n email + WA node)</t>
  </si>
  <si>
    <t>SilverTrust assumption — illustrative, not independently sourced</t>
  </si>
  <si>
    <t>Loaded annual cost per employee</t>
  </si>
  <si>
    <t>TOTAL COST SUMMARY (official, as stated in the n8n Cost Breakdown doc)</t>
  </si>
  <si>
    <t>Total one-time setup cost — low</t>
  </si>
  <si>
    <t>From Assumptions — €80/load × 1,000 loads/week × 52 weeks</t>
  </si>
  <si>
    <t>Assumed operating loss, as % of admin cost</t>
  </si>
  <si>
    <t>Map SAP email flow, WhatsApp workflow, exception handling. Interviews with ops team.</t>
  </si>
  <si>
    <t>€</t>
  </si>
  <si>
    <t>n8n Cost Breakdown doc — Total Cost Summary</t>
  </si>
  <si>
    <t>Technical assessment</t>
  </si>
  <si>
    <t>%</t>
  </si>
  <si>
    <t>Total one-time setup cost — high</t>
  </si>
  <si>
    <t>Implied gross margin (opex minus assumed loss)</t>
  </si>
  <si>
    <t>Total monthly recurring — low</t>
  </si>
  <si>
    <t>SAP email config, carrier WA volume, GPS selection, VPS sizing, data schema design.</t>
  </si>
  <si>
    <t>€/month</t>
  </si>
  <si>
    <t>Architecture design</t>
  </si>
  <si>
    <t>Total monthly recurring — high</t>
  </si>
  <si>
    <t>Annual total, Year 1 (setup + 12 × monthly) — low</t>
  </si>
  <si>
    <t>Calculated — see formula</t>
  </si>
  <si>
    <t>Final n8n workflow design, AI node spec, integration map, EU AI Act classification.</t>
  </si>
  <si>
    <t>Standard working week</t>
  </si>
  <si>
    <t>Phase 0 total</t>
  </si>
  <si>
    <t>What gross margin must be, if opex exceeds it by the assumed loss</t>
  </si>
  <si>
    <t>hours/week</t>
  </si>
  <si>
    <t>External [3] Rivermate — Spain working hours</t>
  </si>
  <si>
    <t>Implied revenue — at stated margin range</t>
  </si>
  <si>
    <t>Statutory annual leave</t>
  </si>
  <si>
    <t>working days</t>
  </si>
  <si>
    <t>External [4] Boundless HQ — Spain statutory leave</t>
  </si>
  <si>
    <t>Public holidays</t>
  </si>
  <si>
    <t>days/year</t>
  </si>
  <si>
    <t>Hours per working day</t>
  </si>
  <si>
    <t>hours/day</t>
  </si>
  <si>
    <t>Annual total, Year 1 (setup + 12 × monthly) — high</t>
  </si>
  <si>
    <t>Standard — full-time definition</t>
  </si>
  <si>
    <t>Effective working hours per year</t>
  </si>
  <si>
    <t>Proposal line item: €6,800. Matches the proposal's cost table and Roadmap Phase 1 (Discovery &amp; Assessment).</t>
  </si>
  <si>
    <t>COMPARISON — VS. SAP BTP ROUTE</t>
  </si>
  <si>
    <t>C — PHASE 1: INFRASTRUCTURE &amp; INTEGRATIONS (Wks 5–12)</t>
  </si>
  <si>
    <t>SAP BTP Integration Suite licence alone — low</t>
  </si>
  <si>
    <t>Server setup</t>
  </si>
  <si>
    <t>n8n Cost Breakdown doc — comparison line</t>
  </si>
  <si>
    <t>SAP BTP Integration Suite licence alone — high</t>
  </si>
  <si>
    <t>Revenue = implied gross margin ÷ margin% (high margin% → lower revenue; low margin% → higher revenue)</t>
  </si>
  <si>
    <t>Saving vs. SAP BTP route — low</t>
  </si>
  <si>
    <t>METHOD 2 — MARKET RATE CROSS-CHECK (Spain–Portugal road freight benchmark)</t>
  </si>
  <si>
    <t>Hetzner VPS, Docker Compose, n8n + PostgreSQL + Ollama, nginx + SSL, monitoring.</t>
  </si>
  <si>
    <t>Saving vs. SAP BTP route — high</t>
  </si>
  <si>
    <t>Loaded hourly rate</t>
  </si>
  <si>
    <t>Rate per loading metre (LDM) — low</t>
  </si>
  <si>
    <t>All figures on this tab are SilverTrust planning estimates from the n8n Cost Breakdown doc, pending final vendor quotes (Hetzner, Meta, Webfleet/Teltonika) — same caveat as the proposal's Sources &amp; Caveats slide.</t>
  </si>
  <si>
    <t>IMAP trigger, sender allowlist validation, template parser, error handling.</t>
  </si>
  <si>
    <t>WhatsApp API setup</t>
  </si>
  <si>
    <t>€/LDM</t>
  </si>
  <si>
    <t>Meta business verification, message templates, n8n WA node, inbound webhook config.</t>
  </si>
  <si>
    <t>€/hour</t>
  </si>
  <si>
    <t>Rate per loading metre (LDM) — high</t>
  </si>
  <si>
    <t>GPS integration</t>
  </si>
  <si>
    <t>EXCEPTIONS &amp; RISK</t>
  </si>
  <si>
    <t>Exception rate — low</t>
  </si>
  <si>
    <t>Assumed loading metres per load</t>
  </si>
  <si>
    <t>% of loads</t>
  </si>
  <si>
    <t>Webfleet/Teltonika webhook config, position ingestion into PostgreSQL, geofence setup.</t>
  </si>
  <si>
    <t>Client — Transiberia interview (3–5% delays/missing shipments)</t>
  </si>
  <si>
    <t>HERE routing API</t>
  </si>
  <si>
    <t>Exception rate — high</t>
  </si>
  <si>
    <t>Fatal / catastrophic incidents (max)</t>
  </si>
  <si>
    <t>Route baseline calculation at load creation, ETA storage, deviation threshold config.</t>
  </si>
  <si>
    <t>per month</t>
  </si>
  <si>
    <t>LDM</t>
  </si>
  <si>
    <t>Google Sheets dashboard</t>
  </si>
  <si>
    <t>Fatal incident cap</t>
  </si>
  <si>
    <t>Implied revenue per load</t>
  </si>
  <si>
    <t>Live ops schema, n8n write nodes, column mapping, conditional formatting rules.</t>
  </si>
  <si>
    <t>€/incident</t>
  </si>
  <si>
    <t>Phase 1 total</t>
  </si>
  <si>
    <t>Assumed avg. severity vs. cap</t>
  </si>
  <si>
    <t>% of cap</t>
  </si>
  <si>
    <t>MARGIN &amp; GROWTH TARGET</t>
  </si>
  <si>
    <t>Proposal line item: €10,500. Matches the proposal's cost table and Roadmap Phase 2 (Infrastructure &amp; AI Nodes).</t>
  </si>
  <si>
    <t>D — PHASE 2: AI NODES (Wks 9–16, parallel)</t>
  </si>
  <si>
    <t>Current margin — low</t>
  </si>
  <si>
    <t>% per pallet</t>
  </si>
  <si>
    <t>Doc extraction LLM</t>
  </si>
  <si>
    <t>Rate/LDM × assumed LDM/load</t>
  </si>
  <si>
    <t>Client — Transiberia interview (5–6% margin per pallet)</t>
  </si>
  <si>
    <t>Current margin — high</t>
  </si>
  <si>
    <t>Implied annual revenue</t>
  </si>
  <si>
    <t>Current annual revenue (ESTIMATED, not confirmed)</t>
  </si>
  <si>
    <t>Prompt design, few-shot examples, field validation, output parsing. Tested on 200+ messages.</t>
  </si>
  <si>
    <t>Exception classifier</t>
  </si>
  <si>
    <t>Classification taxonomy, prompt engineering, confidence scoring, escalation threshold tuning.</t>
  </si>
  <si>
    <t>Route deviation logic</t>
  </si>
  <si>
    <t>GPS vs route baseline comparison, deviation thresholds (distance + time), alert trigger logic.</t>
  </si>
  <si>
    <t>Estimated — see Revenue Estimate tab for method &amp; sources</t>
  </si>
  <si>
    <t>Carrier scorer</t>
  </si>
  <si>
    <t>Target volume — low (+25%)</t>
  </si>
  <si>
    <t>Client — stated growth target (+25% volume)</t>
  </si>
  <si>
    <t>× 1,000 loads/week × 52 weeks</t>
  </si>
  <si>
    <t>Target volume — high (+50%)</t>
  </si>
  <si>
    <t>CONSOLIDATED ESTIMATE</t>
  </si>
  <si>
    <t>SilverTrust assumption — upside scenario, not client-stated</t>
  </si>
  <si>
    <t>PostgreSQL data model, SQL queries, Python ranking script (pandas + scikit-learn), n8n integration.</t>
  </si>
  <si>
    <t>Target revenue growth — low</t>
  </si>
  <si>
    <t>Phase 2 total</t>
  </si>
  <si>
    <t>Low end</t>
  </si>
  <si>
    <t>Client — stated growth target (30–40% revenue)</t>
  </si>
  <si>
    <t>Target revenue growth — high</t>
  </si>
  <si>
    <t>Client — stated growth target</t>
  </si>
  <si>
    <t>INVESTMENT &amp; SYSTEM COSTS (n8n on-premise AI build — SilverTrust boutique tier, Sep 2026)</t>
  </si>
  <si>
    <t>Proposal line item: €11,750. Matches the proposal's cost table — built in parallel with Phase 1 from Wk 9, not a later add-on.</t>
  </si>
  <si>
    <t>Core build investment — consulting only, before contingency</t>
  </si>
  <si>
    <t>E — PHASE 3: TESTING, PILOT &amp; HANDOVER (Wks 17–20)</t>
  </si>
  <si>
    <t>End-to-end testing</t>
  </si>
  <si>
    <t>SilverTrust — Consultancy Build Cost doc, boutique tier (see 'SilverTrust Cost Detail' tab)</t>
  </si>
  <si>
    <t>Contingency rate</t>
  </si>
  <si>
    <t>% of build cost</t>
  </si>
  <si>
    <t>SilverTrust standard planning contingency</t>
  </si>
  <si>
    <t>Core build investment — with contingency</t>
  </si>
  <si>
    <t>Test all workflows with real loads. Fix edge cases. Stress test classifier and GPS deviation.</t>
  </si>
  <si>
    <t>Lowest figure across both methods</t>
  </si>
  <si>
    <t>Ops team training</t>
  </si>
  <si>
    <t>High end</t>
  </si>
  <si>
    <t>Allocated budget</t>
  </si>
  <si>
    <t>Client — stated budget ceiling</t>
  </si>
  <si>
    <t>AI processing (document understanding, exception classification, carrier scoring) is built into the Core build above — not a separate, removable line item. There is no optional/add-on AI fee in this proposal.</t>
  </si>
  <si>
    <t>Train dispatchers on Google Sheets dashboard, alert handling. Document standard operating procedures.</t>
  </si>
  <si>
    <t>Handover &amp; documentation</t>
  </si>
  <si>
    <t>TECHNICAL SETUP &amp; RUNNING COSTS — CLIENT-SIDE (self-hosted; see 'n8n Running Costs' tab for the per-component build)</t>
  </si>
  <si>
    <t>Technical runbook, n8n workflow exports, Ollama config, maintenance guide for a client-side maintenance engineer.</t>
  </si>
  <si>
    <t>Project management</t>
  </si>
  <si>
    <t>Technical setup cost, one-time — low</t>
  </si>
  <si>
    <t>Highest figure across both methods</t>
  </si>
  <si>
    <t>20 weeks × 0.5 day/week PM overhead. Client comms, sprint planning, risk tracking.</t>
  </si>
  <si>
    <t>Central planning estimate (used on Assumptions tab)</t>
  </si>
  <si>
    <t>Phase 3 total</t>
  </si>
  <si>
    <t>Linked — see 'n8n Running Costs' tab</t>
  </si>
  <si>
    <t>Technical setup cost, one-time — high</t>
  </si>
  <si>
    <t>Proposal line item: €11,350. Matches the proposal's cost table. On the Roadmap slide this window is shown as three delivery stages (Testing &amp; Pilot, Full Rollout &amp; Training, Handover &amp; Maintenance) — the underlying fee is unchanged.</t>
  </si>
  <si>
    <t>F — BUILD TOTAL &amp; CONTINGENCY</t>
  </si>
  <si>
    <t>BUILD TOTAL — bottom-up (consulting only, before contingency)</t>
  </si>
  <si>
    <t>Monthly recurring cost — low</t>
  </si>
  <si>
    <t>Monthly recurring cost — high</t>
  </si>
  <si>
    <t>Annual running cost, Year 1 (setup + 12 × monthly) — low</t>
  </si>
  <si>
    <t>Simple average of each method's midpoint — a planning placeholder only.</t>
  </si>
  <si>
    <t>Annual running cost, Year 1 (setup + 12 × monthly) — high</t>
  </si>
  <si>
    <t>Sources</t>
  </si>
  <si>
    <t>With 15% contingency</t>
  </si>
  <si>
    <t>[5]  GoFreight — freight-forwarder gross margin benchmarks by service line</t>
  </si>
  <si>
    <t>gofreight.com/glossary/what-is-the-gross-margin-of-freight-forwarders.html</t>
  </si>
  <si>
    <t>✓ SAP technical-upgrade contingency — removed. n8n reads SAP by email (IMAP); no NetWeaver Gateway, OData or BTP integration is required, so this build works with Transiberia's current SAP release (2005) with no upgrade path needed. The €100,000–250,000 contingency carried in the prior SAP BTP/Cloud TMS proposal (v3) no longer applies.</t>
  </si>
  <si>
    <t>[5]  Trans-road — European Road Freight Rate Benchmark 2026</t>
  </si>
  <si>
    <t>trans-road.com/en/freight-rates/europe-benchmark-2026</t>
  </si>
  <si>
    <t>Note: all other figures on this tab not listed above are SilverTrust planning assumptions, not independently sourced — see column D on each row.</t>
  </si>
  <si>
    <t>Same 15% contingency shown on the proposal's cost table.</t>
  </si>
  <si>
    <t>ONGOING MAINTENANCE — CLIENT-SIDE FTE (SilverTrust does not provide ongoing n8n flow maintenance — see Out of Scope)</t>
  </si>
  <si>
    <t>Core build investment per proposal (Assumptions tab, before contingency)</t>
  </si>
  <si>
    <t>Gross annual salary — forward deployed engineer — low</t>
  </si>
  <si>
    <t>SilverTrust planning assumption, per client direction (Sep 2026 revision) — not an external benchmark</t>
  </si>
  <si>
    <t>Gross annual salary — forward deployed engineer — high</t>
  </si>
  <si>
    <t>SilverTrust planning assumption, per client direction</t>
  </si>
  <si>
    <t>Loaded annual cost — low</t>
  </si>
  <si>
    <t>Variance (bottom-up vs. Assumptions tab)</t>
  </si>
  <si>
    <t>Loaded annual cost — high</t>
  </si>
  <si>
    <t>Should be zero — both figures come from the same Consultancy Build Cost doc. A non-zero variance means one of the two was edited without the other.</t>
  </si>
  <si>
    <t>G — BENCHMARK: BUILD COST BY CONSULTANCY TIER (same 20-week scope)</t>
  </si>
  <si>
    <t>Modeled as a full FTE hire, from handover (Wk 20) onward — a client-side headcount cost, not part of SilverTrust's fee. €65–70K reflects a forward deployed engineer (senior, embedded) rather than a general maintenance/support hire — confirm against Transiberia's own pay bands before committing to a hire.</t>
  </si>
  <si>
    <t>Reference only — mid-market and Big 4 phase rows below are typed from the Consultancy Build Cost doc's own tier tables (single blended role per phase, not task-level), not built up from SilverTrust's day-rate card.</t>
  </si>
  <si>
    <t>SOURCES CITED ON THIS TAB</t>
  </si>
  <si>
    <t>[1]  Glassdoor — Logistics Coordinator salary, Barcelona, Spain (median of 50 submissions)</t>
  </si>
  <si>
    <t>glassdoor.com/Salaries/barcelona-logistics-coordinator-salary-SRCH_IL.0,9_IM1015_KO10,31.htm</t>
  </si>
  <si>
    <t>[2]  Centre Gestor — Employer Social Security Contributions in Spain (≈30.57% total employer burden)</t>
  </si>
  <si>
    <t>centregestor.es/en/employer-social-security-contributions-spain/</t>
  </si>
  <si>
    <t>MID-MARKET AGENCY (€700–1,000/day)</t>
  </si>
  <si>
    <t>[3]  Rivermate — Spain: Working Hours (standard 40-hour week)</t>
  </si>
  <si>
    <t>rivermate.com/guides/spain/working-hours</t>
  </si>
  <si>
    <t>[4]  Boundless HQ — Spain: Leave (30 calendar / 22 working days statutory leave; up to 14 public holidays/year)</t>
  </si>
  <si>
    <t>boundlesshq.com/guides/spain/leave/</t>
  </si>
  <si>
    <t>Phase 0 — Discovery, assessment &amp; architecture</t>
  </si>
  <si>
    <t>[5]  YunoJuno — Freelancer Rates Report 2025 (day-rate benchmarks by discipline)</t>
  </si>
  <si>
    <t>yunojuno.com — Freelancer Rates Report 2025</t>
  </si>
  <si>
    <t>[6]  goLance — AI Consultant Rate Guide 2026</t>
  </si>
  <si>
    <t>golance.com — AI Consultant Rate Guide 2026</t>
  </si>
  <si>
    <t>[7]  EU SME AI Consulting Market 2026 — market sizing &amp; day-rate context</t>
  </si>
  <si>
    <t>EU SME AI Consulting Market 2026</t>
  </si>
  <si>
    <t>Note: [5]–[7] back the boutique/mid-market/Big 4 day-rate comparison on the 'SilverTrust Cost Detail' tab and the proposal's Sources &amp; Caveats slide.</t>
  </si>
  <si>
    <t>Same scope as boutique — structured delivery, formal outputs, workshop facilitation. Sr consultant @ €850/day (typed, not linked to Section A).</t>
  </si>
  <si>
    <t>Phase 1 — All integrations</t>
  </si>
  <si>
    <t>Note: the forward deployed engineer salary (€65–70K) above is a SilverTrust planning assumption set per client direction — not an external salary benchmark. Confirm against Transiberia's own pay bands before committing to a hire.</t>
  </si>
  <si>
    <t>Same scope. Development team carries out build work under consultant direction.</t>
  </si>
  <si>
    <t>Phase 2 — All AI nodes</t>
  </si>
  <si>
    <t>Same scope. AI specialist and data engineer.</t>
  </si>
  <si>
    <t>Phase 3 — Testing, training &amp; PM</t>
  </si>
  <si>
    <t>Same scope. Includes QA resource and formal sign-off process.</t>
  </si>
  <si>
    <t>Mid-market total (before contingency)</t>
  </si>
  <si>
    <t>Proposal line item: €61,300. +15% contingency = €70,495. ≈ +51% premium over boutique for the same scope.</t>
  </si>
  <si>
    <t>BIG 4 / TIER 1 (€1,400–2,000/day)</t>
  </si>
  <si>
    <t>Adds formal methodology, steering committee, full documentation overhead.</t>
  </si>
  <si>
    <t>Phase 1 — All integrations + governance</t>
  </si>
  <si>
    <t>Same scope. Subcontracted to tech delivery team. Governance layer added.</t>
  </si>
  <si>
    <t>Phase 2 — All AI nodes + governance docs</t>
  </si>
  <si>
    <t>AI practice team. Includes model governance docs and risk assessment reports.</t>
  </si>
  <si>
    <t>Phase 3 — Testing, training, PM &amp; governance</t>
  </si>
  <si>
    <t>Formal UAT, change management programme, executive steering committee updates.</t>
  </si>
  <si>
    <t>Big 4 total (before contingency)</t>
  </si>
  <si>
    <t>Proposal line item: €159,400. +20% contingency = €191,280. ≈ 4× the boutique price for the same working system.</t>
  </si>
  <si>
    <t>Why boutique is the right fit: the premium buys brand recognition and risk transfer, not better AI models or a more reliable GPS integration. The Big 4 route would consume the entire €500,000 allocated budget on consulting fees alone, before the first server is provisioned. Sources: [5]–[7] on the Assumptions tab.</t>
  </si>
  <si>
    <t>Transiberia — Cost, Risk &amp; Scaling Model</t>
  </si>
  <si>
    <t>All figures are formulas driven by the Assumptions tab — change an input there and everything here recalculates.</t>
  </si>
  <si>
    <t>Low / current</t>
  </si>
  <si>
    <t>High / target</t>
  </si>
  <si>
    <t>Notes</t>
  </si>
  <si>
    <t>1 — COST OF LOST HOURS (20–30 hrs/week firefighting)</t>
  </si>
  <si>
    <t>Weekly cost</t>
  </si>
  <si>
    <t>Loaded hourly rate × lost hours</t>
  </si>
  <si>
    <t>Annual cost</t>
  </si>
  <si>
    <t>Already embedded inside the €/load processing cost below — not additive to Section 2.</t>
  </si>
  <si>
    <t>2 — PROCESSING COST: CURRENT vs TARGET €/LOAD</t>
  </si>
  <si>
    <t>Annual cost at current €/load</t>
  </si>
  <si>
    <t>€80/load × 1,000 loads/week × 52 weeks</t>
  </si>
  <si>
    <t>Annual cost at target €/load</t>
  </si>
  <si>
    <t>€40/load target × same volume</t>
  </si>
  <si>
    <t>SAVINGS at current volume (headline)</t>
  </si>
  <si>
    <t>The primary, non-double-counted savings figure at today's volume.</t>
  </si>
  <si>
    <t>Carrier assignment cycle time</t>
  </si>
  <si>
    <t>Cycle-time KPI (mostly wait time) — driver of the desk-throughput gain in Section 5, not a separate € figure.</t>
  </si>
  <si>
    <t>3 — EXCEPTIONS &amp; TAIL RISK</t>
  </si>
  <si>
    <t>Weekly exceptions (routine)</t>
  </si>
  <si>
    <t>Cost already reflected in Section 2 — not priced separately.</t>
  </si>
  <si>
    <t>Fatal incidents per year</t>
  </si>
  <si>
    <t>&lt;5/month × 12</t>
  </si>
  <si>
    <t>Worst-case exposure ceiling (annual)</t>
  </si>
  <si>
    <t>Hard cap if every incident hit the max — not a typical outcome.</t>
  </si>
  <si>
    <t>Illustrative expected exposure (annual)</t>
  </si>
  <si>
    <t>Uses the illustrative severity assumption on the Assumptions tab — replace once real claims data exists.</t>
  </si>
  <si>
    <t>4 — MARGIN LEVERAGE &amp; REVENUE GROWTH</t>
  </si>
  <si>
    <t>Profit from €1 of new revenue (at current margin)</t>
  </si>
  <si>
    <t>Leverage: 1 cost-€ saved ≈ X revenue-€ generated</t>
  </si>
  <si>
    <t>Systems Cost &amp; Net ROI — The Realistic, All-In Picture</t>
  </si>
  <si>
    <t>Section 6 of the Calculations tab only nets the Core build fee against savings. This tab adds what that leaves out — technical setup &amp; running costs (VPS, WhatsApp, GPS, Sheets) — so the opportunity vs. investment comparison reflects the real cost of the system, not just SilverTrust's build fee. The SAP technical-upgrade contingency and optional Generative-AI-layer costs from the prior SAP BTP proposal (v3) no longer apply: n8n reads SAP by email, and AI processing is built into the Core, not a removable add-on.</t>
  </si>
  <si>
    <t>A — ONE-TIME INVESTMENT</t>
  </si>
  <si>
    <t>At a 5–6% margin, cutting cost is worth 16–20x the equivalent revenue growth in profit terms.</t>
  </si>
  <si>
    <t>Low</t>
  </si>
  <si>
    <t>Revenue growth target, in €</t>
  </si>
  <si>
    <t>High</t>
  </si>
  <si>
    <t>Core build (SilverTrust fee, with 15% contingency)</t>
  </si>
  <si>
    <t>Same figure both columns — the build fee is fixed, not a range</t>
  </si>
  <si>
    <t>+ Technical setup costs (VPS, WhatsApp/Meta, GPS hardware, AI model design)</t>
  </si>
  <si>
    <t>Blank until Assumptions!Current annual revenue is filled in.</t>
  </si>
  <si>
    <t>Profit impact of that revenue growth</t>
  </si>
  <si>
    <t>See 'n8n Running Costs' tab for the per-component build</t>
  </si>
  <si>
    <t>TOTAL ONE-TIME INVESTMENT, YEAR 1</t>
  </si>
  <si>
    <t>B — RECURRING CLIENT-SIDE COSTS (annual, ongoing)</t>
  </si>
  <si>
    <t>Revenue growth × margin — shows how little of that growth reaches the bottom line vs. cost savings.</t>
  </si>
  <si>
    <t>5 — SCALING +25–50% VOLUME WITHOUT ADDING HEADCOUNT</t>
  </si>
  <si>
    <t>VPS + WhatsApp templates + GPS tracking + Sheets (monthly × 12)</t>
  </si>
  <si>
    <t>Current throughput</t>
  </si>
  <si>
    <t>Recurring cost only — excludes the one-time setup counted in Section A</t>
  </si>
  <si>
    <t>Loads per employee per week, today</t>
  </si>
  <si>
    <t>Forward deployed engineer, loaded annual cost (client FTE, from handover)</t>
  </si>
  <si>
    <t>Employees needed at target volume (old way)</t>
  </si>
  <si>
    <t>SilverTrust does not provide ongoing n8n flow maintenance — see Out of Scope. Full FTE modeled; a fractional allocation could reduce this. (https://www.salaryexpert.com/salary/job/engineer/spain/barcelona)</t>
  </si>
  <si>
    <t>TOTAL RECURRING COST, PER YEAR (from Year 1 handover)</t>
  </si>
  <si>
    <t>C — YEAR 1 NET OPPORTUNITY (excl. AI — already in the Core build above)</t>
  </si>
  <si>
    <t>If throughput per person never improved</t>
  </si>
  <si>
    <t>Gross annual savings at current volume</t>
  </si>
  <si>
    <t>Additional hires avoided</t>
  </si>
  <si>
    <t>From Calculations, Section 2 — same both columns</t>
  </si>
  <si>
    <t>Less: Core build (with contingency)</t>
  </si>
  <si>
    <t>Avoided hiring cost (annual)</t>
  </si>
  <si>
    <t>Less: Year 1 technical setup cost</t>
  </si>
  <si>
    <t>Less: Year 1 recurring running costs</t>
  </si>
  <si>
    <t>An alternate lens on the same efficiency gain as Section 2 — do not add to it.</t>
  </si>
  <si>
    <t>Processing-cost savings AT scaled volume</t>
  </si>
  <si>
    <t>Less: Year 1 maintenance engineer (client FTE)</t>
  </si>
  <si>
    <t>NET YEAR 1 BENEFIT</t>
  </si>
  <si>
    <t>Now includes the client-side maintenance FTE — see note below</t>
  </si>
  <si>
    <t>Payback period</t>
  </si>
  <si>
    <t>Run-rate once volume reaches the target band — the headline scaling number.</t>
  </si>
  <si>
    <t>6 — RETURN ON THE CORE BUILD INVESTMENT ONLY (simplified — see Systems Cost &amp; Net ROI tab for the full picture)</t>
  </si>
  <si>
    <t>Investment (Core build only, with 15% contingency — excl. technical setup &amp; running costs)</t>
  </si>
  <si>
    <t>From the proposal's cost estimate — Core build only</t>
  </si>
  <si>
    <t>Payback period, at current volume (Core build only)</t>
  </si>
  <si>
    <t>Time to recover the full Year 1 investment (build + setup + running costs + maintenance FTE) from gross savings</t>
  </si>
  <si>
    <t>D — 3-YEAR NET OPPORTUNITY (conservative — savings held flat, no assumed volume growth)</t>
  </si>
  <si>
    <t>Cumulative gross savings, 3 years</t>
  </si>
  <si>
    <t>Year-1 net benefit, at current volume (Core build only)</t>
  </si>
  <si>
    <t>Current-volume headline savings × 3 — conservative, ignores the scaling upside</t>
  </si>
  <si>
    <t>Less: one-time investment (build + setup)</t>
  </si>
  <si>
    <t>Run-rate net benefit once scaled to target volume (Core build only)</t>
  </si>
  <si>
    <t>Less: 3 years of recurring running costs (incl. maintenance FTE)</t>
  </si>
  <si>
    <t>NET 3-YEAR BENEFIT</t>
  </si>
  <si>
    <t>Same one-time investment; savings grow as volume grows onto the same platform.</t>
  </si>
  <si>
    <t>⚠ This section excludes the technical setup &amp; running costs (VPS, WhatsApp, GPS, Sheets) — a modest deduction now that the SAP-upgrade contingency and optional-AI-layer costs from the prior SAP BTP proposal no longer apply. See the 'Systems Cost &amp; Net ROI' tab for the realistic, all-in comparison.</t>
  </si>
  <si>
    <t>E — BENCHMARK: SAVING VS. SAP BTP ROUTE (on equivalent functionality)</t>
  </si>
  <si>
    <t>SAP BTP Integration Suite licence alone (annual)</t>
  </si>
  <si>
    <t>For equivalent functionality, before any implementation cost — see 'n8n Running Costs' tab, Comparison section</t>
  </si>
  <si>
    <t>Saving vs. SAP BTP route (annual)</t>
  </si>
  <si>
    <t>n8n self-hosted has no execution limits, no per-seat fees, no vendor lock-in. Source: n8n Cost Breakdown doc.</t>
  </si>
  <si>
    <t>See 'SilverTrust Cost Detail' tab, Section G, for the full boutique vs. mid-market vs. Big 4 build-cost &amp; timeline comparison.</t>
  </si>
  <si>
    <t>All figures marked "SilverTrust illustrative" or "pending vendor quote" on the Assumptions / n8n Running Costs tabs (VPS, WhatsApp templates, GPS tracking, maintenance engineer salary) are NOT vendor- or hire-confirmed — replace with a real quote or offer letter as they come in, per the proposal's Sources &amp; Caveats slide. This tab exists so the opportunity-vs-investment story never overstates the net benefit by quietly ignoring what SilverTrust's fee doesn't cover.</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</si>
</sst>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quot;(€&quot;#,##0\);\-"/>
    <numFmt numFmtId="165" formatCode="0.0"/>
    <numFmt numFmtId="166" formatCode="0.0%"/>
    <numFmt numFmtId="167" formatCode="0.0\h"/>
    <numFmt numFmtId="168" formatCode="\€0.000"/>
    <numFmt numFmtId="169" formatCode="0.0\x"/>
    <numFmt numFmtId="170" formatCode="0.0&quot; days&quot;"/>
  </numFmts>
  <fonts count="13">
    <font>
      <sz val="11.0"/>
      <color theme="1"/>
      <name val="Calibri"/>
      <scheme val="minor"/>
    </font>
    <font>
      <b/>
      <sz val="14.0"/>
      <color rgb="FF0A192F"/>
      <name val="Arial"/>
    </font>
    <font>
      <i/>
      <sz val="9.0"/>
      <color rgb="FF6B7280"/>
      <name val="Arial"/>
    </font>
    <font>
      <b/>
      <sz val="10.0"/>
      <color rgb="FFFFFFFF"/>
      <name val="Arial"/>
    </font>
    <font>
      <b/>
      <sz val="10.0"/>
      <color rgb="FF000000"/>
      <name val="Arial"/>
    </font>
    <font>
      <sz val="11.0"/>
      <color theme="1"/>
      <name val="Calibri"/>
    </font>
    <font>
      <sz val="10.0"/>
      <color rgb="FF000000"/>
      <name val="Arial"/>
    </font>
    <font>
      <sz val="10.0"/>
      <color rgb="FF0000FF"/>
      <name val="Arial"/>
    </font>
    <font>
      <sz val="10.0"/>
      <color rgb="FF008000"/>
      <name val="Arial"/>
    </font>
    <font>
      <b/>
      <sz val="11.0"/>
      <color rgb="FFFFFFFF"/>
      <name val="Arial"/>
    </font>
    <font>
      <b/>
      <sz val="10.0"/>
      <color rgb="FF0F6B3A"/>
      <name val="Arial"/>
    </font>
    <font/>
    <font>
      <b/>
      <sz val="10.0"/>
      <color rgb="FF0A192F"/>
      <name val="Arial"/>
    </font>
  </fonts>
  <fills count="8">
    <fill>
      <patternFill patternType="none"/>
    </fill>
    <fill>
      <patternFill patternType="lightGray"/>
    </fill>
    <fill>
      <patternFill patternType="solid">
        <fgColor rgb="FF0A192F"/>
        <bgColor rgb="FF0A192F"/>
      </patternFill>
    </fill>
    <fill>
      <patternFill patternType="solid">
        <fgColor rgb="FFFFFF00"/>
        <bgColor rgb="FFFFFF00"/>
      </patternFill>
    </fill>
    <fill>
      <patternFill patternType="solid">
        <fgColor rgb="FFF4F6F9"/>
        <bgColor rgb="FFF4F6F9"/>
      </patternFill>
    </fill>
    <fill>
      <patternFill patternType="solid">
        <fgColor rgb="FFFFD8A8"/>
        <bgColor rgb="FFFFD8A8"/>
      </patternFill>
    </fill>
    <fill>
      <patternFill patternType="solid">
        <fgColor rgb="FFE6F4EA"/>
        <bgColor rgb="FFE6F4EA"/>
      </patternFill>
    </fill>
    <fill>
      <patternFill patternType="solid">
        <fgColor rgb="FFE3F7FB"/>
        <bgColor rgb="FFE3F7FB"/>
      </patternFill>
    </fill>
  </fills>
  <borders count="5">
    <border/>
    <border>
      <left style="thin">
        <color rgb="FFD9D9D9"/>
      </left>
      <right style="thin">
        <color rgb="FFD9D9D9"/>
      </right>
      <top style="thin">
        <color rgb="FFD9D9D9"/>
      </top>
      <bottom style="thin">
        <color rgb="FFD9D9D9"/>
      </bottom>
    </border>
    <border>
      <left/>
      <top/>
      <bottom/>
    </border>
    <border>
      <top/>
      <bottom/>
    </border>
    <border>
      <right/>
      <top/>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0" fontId="2" numFmtId="0" xfId="0" applyAlignment="1" applyBorder="1" applyFont="1">
      <alignment shrinkToFit="0" vertical="bottom" wrapText="0"/>
    </xf>
    <xf borderId="1" fillId="2" fontId="3" numFmtId="0" xfId="0" applyAlignment="1" applyBorder="1" applyFill="1" applyFont="1">
      <alignment shrinkToFit="0" vertical="bottom" wrapText="0"/>
    </xf>
    <xf borderId="1" fillId="0" fontId="4" numFmtId="0" xfId="0" applyAlignment="1" applyBorder="1" applyFont="1">
      <alignment shrinkToFit="0" vertical="top" wrapText="0"/>
    </xf>
    <xf borderId="1" fillId="2" fontId="5" numFmtId="0" xfId="0" applyAlignment="1" applyBorder="1" applyFill="1" applyFont="1">
      <alignment shrinkToFit="0" vertical="bottom" wrapText="0"/>
    </xf>
    <xf borderId="1" fillId="0" fontId="2" numFmtId="0" xfId="0" applyAlignment="1" applyBorder="1" applyFont="1">
      <alignment shrinkToFit="0" vertical="top" wrapText="1"/>
    </xf>
    <xf borderId="1" fillId="0" fontId="6" numFmtId="0" xfId="0" applyAlignment="1" applyBorder="1" applyFont="1">
      <alignment shrinkToFit="0" vertical="bottom" wrapText="0"/>
    </xf>
    <xf borderId="1" fillId="0" fontId="6" numFmtId="0" xfId="0" applyAlignment="1" applyBorder="1" applyFont="1">
      <alignment shrinkToFit="0" vertical="top" wrapText="0"/>
    </xf>
    <xf borderId="1" fillId="0" fontId="7" numFmtId="164" xfId="0" applyAlignment="1" applyBorder="1" applyFont="1" applyNumberFormat="1">
      <alignment shrinkToFit="0" vertical="bottom" wrapText="0"/>
    </xf>
    <xf borderId="1" fillId="0" fontId="8" numFmtId="0" xfId="0" applyAlignment="1" applyBorder="1" applyFont="1">
      <alignment shrinkToFit="0" vertical="top" wrapText="0"/>
    </xf>
    <xf borderId="1" fillId="0" fontId="2" numFmtId="0" xfId="0" applyAlignment="1" applyBorder="1" applyFont="1">
      <alignment horizontal="left" shrinkToFit="0" vertical="bottom" wrapText="0"/>
    </xf>
    <xf borderId="1" fillId="0" fontId="7" numFmtId="3" xfId="0" applyAlignment="1" applyBorder="1" applyFont="1" applyNumberFormat="1">
      <alignment shrinkToFit="0" vertical="bottom" wrapText="0"/>
    </xf>
    <xf borderId="1" fillId="0" fontId="5" numFmtId="0" xfId="0" applyAlignment="1" applyBorder="1" applyFont="1">
      <alignment shrinkToFit="0" vertical="bottom" wrapText="0"/>
    </xf>
    <xf borderId="1" fillId="0" fontId="2" numFmtId="0" xfId="0" applyAlignment="1" applyBorder="1" applyFont="1">
      <alignment shrinkToFit="0" vertical="top" wrapText="0"/>
    </xf>
    <xf borderId="1" fillId="0" fontId="7" numFmtId="165" xfId="0" applyAlignment="1" applyBorder="1" applyFont="1" applyNumberFormat="1">
      <alignment shrinkToFit="0" vertical="bottom" wrapText="0"/>
    </xf>
    <xf borderId="1" fillId="0" fontId="7" numFmtId="166" xfId="0" applyAlignment="1" applyBorder="1" applyFont="1" applyNumberFormat="1">
      <alignment shrinkToFit="0" vertical="bottom" wrapText="0"/>
    </xf>
    <xf borderId="1" fillId="0" fontId="6" numFmtId="164" xfId="0" applyAlignment="1" applyBorder="1" applyFont="1" applyNumberFormat="1">
      <alignment shrinkToFit="0" vertical="bottom" wrapText="0"/>
    </xf>
    <xf borderId="1" fillId="3" fontId="7" numFmtId="164" xfId="0" applyAlignment="1" applyBorder="1" applyFill="1" applyFont="1" applyNumberFormat="1">
      <alignment shrinkToFit="0" vertical="bottom" wrapText="0"/>
    </xf>
    <xf borderId="1" fillId="4" fontId="4" numFmtId="0" xfId="0" applyAlignment="1" applyBorder="1" applyFill="1" applyFont="1">
      <alignment shrinkToFit="0" vertical="bottom" wrapText="0"/>
    </xf>
    <xf borderId="1" fillId="4" fontId="5" numFmtId="0" xfId="0" applyAlignment="1" applyBorder="1" applyFill="1" applyFont="1">
      <alignment shrinkToFit="0" vertical="bottom" wrapText="0"/>
    </xf>
    <xf borderId="1" fillId="4" fontId="4" numFmtId="164" xfId="0" applyAlignment="1" applyBorder="1" applyFill="1" applyFont="1" applyNumberFormat="1">
      <alignment shrinkToFit="0" vertical="bottom" wrapText="0"/>
    </xf>
    <xf borderId="1" fillId="4" fontId="2" numFmtId="0" xfId="0" applyAlignment="1" applyBorder="1" applyFill="1" applyFont="1">
      <alignment shrinkToFit="0" vertical="bottom" wrapText="0"/>
    </xf>
    <xf borderId="1" fillId="0" fontId="6" numFmtId="165" xfId="0" applyAlignment="1" applyBorder="1" applyFont="1" applyNumberFormat="1">
      <alignment shrinkToFit="0" vertical="bottom" wrapText="0"/>
    </xf>
    <xf borderId="1" fillId="3" fontId="7" numFmtId="166" xfId="0" applyAlignment="1" applyBorder="1" applyFill="1" applyFont="1" applyNumberFormat="1">
      <alignment shrinkToFit="0" vertical="bottom" wrapText="0"/>
    </xf>
    <xf borderId="1" fillId="5" fontId="8" numFmtId="164" xfId="0" applyAlignment="1" applyBorder="1" applyFill="1" applyFont="1" applyNumberFormat="1">
      <alignment shrinkToFit="0" vertical="bottom" wrapText="0"/>
    </xf>
    <xf borderId="1" fillId="2" fontId="9" numFmtId="0" xfId="0" applyAlignment="1" applyBorder="1" applyFill="1" applyFont="1">
      <alignment shrinkToFit="0" vertical="bottom" wrapText="0"/>
    </xf>
    <xf borderId="1" fillId="0" fontId="4" numFmtId="164" xfId="0" applyAlignment="1" applyBorder="1" applyFont="1" applyNumberFormat="1">
      <alignment shrinkToFit="0" vertical="bottom" wrapText="0"/>
    </xf>
    <xf borderId="1" fillId="2" fontId="9" numFmtId="164" xfId="0" applyAlignment="1" applyBorder="1" applyFill="1" applyFont="1" applyNumberFormat="1">
      <alignment shrinkToFit="0" vertical="bottom" wrapText="0"/>
    </xf>
    <xf borderId="0" fillId="0" fontId="4" numFmtId="0" xfId="0" applyAlignment="1" applyFont="1">
      <alignment shrinkToFit="0" vertical="bottom" wrapText="0"/>
    </xf>
    <xf borderId="2" fillId="6" fontId="10" numFmtId="0" xfId="0" applyAlignment="1" applyBorder="1" applyFill="1" applyFont="1">
      <alignment shrinkToFit="0" vertical="bottom" wrapText="0"/>
    </xf>
    <xf borderId="3" fillId="0" fontId="11" numFmtId="0" xfId="0" applyBorder="1" applyFont="1"/>
    <xf borderId="4" fillId="0" fontId="11" numFmtId="0" xfId="0" applyBorder="1" applyFont="1"/>
    <xf borderId="1" fillId="0" fontId="8" numFmtId="0" xfId="0" applyAlignment="1" applyBorder="1" applyFont="1">
      <alignment shrinkToFit="0" vertical="bottom" wrapText="0"/>
    </xf>
    <xf borderId="1" fillId="0" fontId="8" numFmtId="164" xfId="0" applyAlignment="1" applyBorder="1" applyFont="1" applyNumberFormat="1">
      <alignment shrinkToFit="0" vertical="bottom" wrapText="0"/>
    </xf>
    <xf borderId="1" fillId="0" fontId="2" numFmtId="164" xfId="0" applyAlignment="1" applyBorder="1" applyFont="1" applyNumberFormat="1">
      <alignment shrinkToFit="0" vertical="bottom" wrapText="0"/>
    </xf>
    <xf borderId="1" fillId="7" fontId="12" numFmtId="0" xfId="0" applyAlignment="1" applyBorder="1" applyFill="1" applyFont="1">
      <alignment shrinkToFit="0" vertical="bottom" wrapText="0"/>
    </xf>
    <xf borderId="1" fillId="7" fontId="5" numFmtId="0" xfId="0" applyAlignment="1" applyBorder="1" applyFill="1" applyFont="1">
      <alignment shrinkToFit="0" vertical="bottom" wrapText="0"/>
    </xf>
    <xf borderId="0" fillId="0" fontId="6" numFmtId="0" xfId="0" applyAlignment="1" applyFont="1">
      <alignment shrinkToFit="0" vertical="bottom" wrapText="0"/>
    </xf>
    <xf borderId="1" fillId="0" fontId="6" numFmtId="167" xfId="0" applyAlignment="1" applyBorder="1" applyFont="1" applyNumberFormat="1">
      <alignment shrinkToFit="0" vertical="bottom" wrapText="0"/>
    </xf>
    <xf borderId="1" fillId="0" fontId="4" numFmtId="3" xfId="0" applyAlignment="1" applyBorder="1" applyFont="1" applyNumberFormat="1">
      <alignment shrinkToFit="0" vertical="bottom" wrapText="0"/>
    </xf>
    <xf borderId="1" fillId="0" fontId="4" numFmtId="168" xfId="0" applyAlignment="1" applyBorder="1" applyFont="1" applyNumberFormat="1">
      <alignment shrinkToFit="0" vertical="bottom" wrapText="0"/>
    </xf>
    <xf borderId="1" fillId="0" fontId="4" numFmtId="169" xfId="0" applyAlignment="1" applyBorder="1" applyFont="1" applyNumberFormat="1">
      <alignment shrinkToFit="0" vertical="bottom" wrapText="0"/>
    </xf>
    <xf borderId="1" fillId="0" fontId="4" numFmtId="2" xfId="0" applyAlignment="1" applyBorder="1" applyFont="1" applyNumberFormat="1">
      <alignment shrinkToFit="0" vertical="bottom" wrapText="0"/>
    </xf>
    <xf borderId="1" fillId="0" fontId="2" numFmtId="0" xfId="0" applyAlignment="1" applyBorder="1" applyFont="1">
      <alignment readingOrder="0" shrinkToFit="0" vertical="bottom" wrapText="0"/>
    </xf>
    <xf borderId="1" fillId="0" fontId="4" numFmtId="1" xfId="0" applyAlignment="1" applyBorder="1" applyFont="1" applyNumberFormat="1">
      <alignment shrinkToFit="0" vertical="bottom" wrapText="0"/>
    </xf>
    <xf borderId="1" fillId="0" fontId="6" numFmtId="170" xfId="0" applyAlignment="1" applyBorder="1" applyFont="1" applyNumberFormat="1">
      <alignment shrinkToFit="0" vertical="bottom" wrapText="0"/>
    </xf>
    <xf borderId="1" fillId="0" fontId="4" numFmtId="170" xfId="0" applyAlignment="1" applyBorder="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2.0"/>
    <col customWidth="1" min="2" max="2" width="14.0"/>
    <col customWidth="1" min="3" max="3" width="10.0"/>
    <col customWidth="1" min="4" max="4" width="56.0"/>
    <col customWidth="1" min="5" max="26" width="8.71"/>
  </cols>
  <sheetData>
    <row r="1">
      <c r="A1" s="1" t="s">
        <v>2</v>
      </c>
    </row>
    <row r="2">
      <c r="A2" s="2" t="s">
        <v>3</v>
      </c>
    </row>
    <row r="3">
      <c r="A3" s="3" t="s">
        <v>6</v>
      </c>
      <c r="B3" s="3" t="s">
        <v>10</v>
      </c>
      <c r="C3" s="3" t="s">
        <v>13</v>
      </c>
      <c r="D3" s="3" t="s">
        <v>16</v>
      </c>
    </row>
    <row r="4">
      <c r="A4" s="4" t="s">
        <v>19</v>
      </c>
      <c r="B4" s="6"/>
      <c r="C4" s="6"/>
      <c r="D4" s="6"/>
    </row>
    <row r="5">
      <c r="A5" s="8" t="s">
        <v>30</v>
      </c>
      <c r="B5" s="13">
        <v>1000.0</v>
      </c>
      <c r="C5" s="3" t="s">
        <v>38</v>
      </c>
      <c r="D5" s="3" t="s">
        <v>40</v>
      </c>
    </row>
    <row r="6">
      <c r="A6" s="8" t="s">
        <v>42</v>
      </c>
      <c r="B6" s="13">
        <v>52.0</v>
      </c>
      <c r="C6" s="3" t="s">
        <v>46</v>
      </c>
      <c r="D6" s="3" t="s">
        <v>47</v>
      </c>
    </row>
    <row r="7">
      <c r="A7" s="8" t="s">
        <v>50</v>
      </c>
      <c r="B7" s="13">
        <v>120.0</v>
      </c>
      <c r="C7" s="3" t="s">
        <v>52</v>
      </c>
      <c r="D7" s="3" t="s">
        <v>40</v>
      </c>
    </row>
    <row r="8">
      <c r="A8" s="8" t="s">
        <v>55</v>
      </c>
      <c r="B8" s="16">
        <v>20.0</v>
      </c>
      <c r="C8" s="3" t="s">
        <v>64</v>
      </c>
      <c r="D8" s="3" t="s">
        <v>65</v>
      </c>
    </row>
    <row r="9">
      <c r="A9" s="8" t="s">
        <v>67</v>
      </c>
      <c r="B9" s="16">
        <v>30.0</v>
      </c>
      <c r="C9" s="3" t="s">
        <v>64</v>
      </c>
      <c r="D9" s="3" t="s">
        <v>40</v>
      </c>
    </row>
    <row r="10">
      <c r="A10" s="8" t="s">
        <v>72</v>
      </c>
      <c r="B10" s="10">
        <v>80.0</v>
      </c>
      <c r="C10" s="3" t="s">
        <v>78</v>
      </c>
      <c r="D10" s="3" t="s">
        <v>40</v>
      </c>
    </row>
    <row r="11">
      <c r="A11" s="8" t="s">
        <v>81</v>
      </c>
      <c r="B11" s="10">
        <v>40.0</v>
      </c>
      <c r="C11" s="3" t="s">
        <v>78</v>
      </c>
      <c r="D11" s="3" t="s">
        <v>85</v>
      </c>
    </row>
    <row r="12">
      <c r="A12" s="8" t="s">
        <v>87</v>
      </c>
      <c r="B12" s="16">
        <v>8.0</v>
      </c>
      <c r="C12" s="3" t="s">
        <v>64</v>
      </c>
      <c r="D12" s="3" t="s">
        <v>90</v>
      </c>
    </row>
    <row r="13">
      <c r="A13" s="8" t="s">
        <v>92</v>
      </c>
      <c r="B13" s="16">
        <v>2.0</v>
      </c>
      <c r="C13" s="3" t="s">
        <v>64</v>
      </c>
      <c r="D13" s="3" t="s">
        <v>94</v>
      </c>
    </row>
    <row r="15">
      <c r="A15" s="4" t="s">
        <v>96</v>
      </c>
      <c r="B15" s="6"/>
      <c r="C15" s="6"/>
      <c r="D15" s="6"/>
    </row>
    <row r="16">
      <c r="A16" s="8" t="s">
        <v>101</v>
      </c>
      <c r="B16" s="10">
        <v>29000.0</v>
      </c>
      <c r="C16" s="3" t="s">
        <v>103</v>
      </c>
      <c r="D16" s="3" t="s">
        <v>105</v>
      </c>
    </row>
    <row r="17">
      <c r="A17" s="8" t="s">
        <v>107</v>
      </c>
      <c r="B17" s="17">
        <v>0.3</v>
      </c>
      <c r="C17" s="3" t="s">
        <v>114</v>
      </c>
      <c r="D17" s="3" t="s">
        <v>115</v>
      </c>
    </row>
    <row r="18">
      <c r="A18" s="8" t="s">
        <v>117</v>
      </c>
      <c r="B18" s="17">
        <v>0.05</v>
      </c>
      <c r="C18" s="3" t="s">
        <v>114</v>
      </c>
      <c r="D18" s="3" t="s">
        <v>120</v>
      </c>
    </row>
    <row r="19">
      <c r="A19" s="8" t="s">
        <v>121</v>
      </c>
      <c r="B19" s="18">
        <f>B16*(1+B17+B18)</f>
        <v>39150</v>
      </c>
      <c r="C19" s="3" t="s">
        <v>103</v>
      </c>
      <c r="D19" s="3" t="s">
        <v>139</v>
      </c>
    </row>
    <row r="20">
      <c r="A20" s="8" t="s">
        <v>141</v>
      </c>
      <c r="B20" s="16">
        <v>40.0</v>
      </c>
      <c r="C20" s="3" t="s">
        <v>144</v>
      </c>
      <c r="D20" s="3" t="s">
        <v>145</v>
      </c>
    </row>
    <row r="21" ht="15.75" customHeight="1">
      <c r="A21" s="8" t="s">
        <v>147</v>
      </c>
      <c r="B21" s="16">
        <v>22.0</v>
      </c>
      <c r="C21" s="3" t="s">
        <v>148</v>
      </c>
      <c r="D21" s="3" t="s">
        <v>149</v>
      </c>
    </row>
    <row r="22" ht="15.75" customHeight="1">
      <c r="A22" s="8" t="s">
        <v>150</v>
      </c>
      <c r="B22" s="16">
        <v>14.0</v>
      </c>
      <c r="C22" s="3" t="s">
        <v>151</v>
      </c>
      <c r="D22" s="3" t="s">
        <v>149</v>
      </c>
    </row>
    <row r="23" ht="15.75" customHeight="1">
      <c r="A23" s="8" t="s">
        <v>152</v>
      </c>
      <c r="B23" s="16">
        <v>8.0</v>
      </c>
      <c r="C23" s="3" t="s">
        <v>153</v>
      </c>
      <c r="D23" s="3" t="s">
        <v>155</v>
      </c>
    </row>
    <row r="24" ht="15.75" customHeight="1">
      <c r="A24" s="8" t="s">
        <v>156</v>
      </c>
      <c r="B24" s="24">
        <f>(B20*B6)-(B21*B23)-(B22*B23)</f>
        <v>1792</v>
      </c>
      <c r="C24" s="3" t="s">
        <v>64</v>
      </c>
      <c r="D24" s="3" t="s">
        <v>139</v>
      </c>
    </row>
    <row r="25" ht="15.75" customHeight="1">
      <c r="A25" s="8" t="s">
        <v>169</v>
      </c>
      <c r="B25" s="18">
        <f>B19/B24</f>
        <v>21.84709821</v>
      </c>
      <c r="C25" s="3" t="s">
        <v>176</v>
      </c>
      <c r="D25" s="3" t="s">
        <v>139</v>
      </c>
    </row>
    <row r="26" ht="15.75" customHeight="1"/>
    <row r="27" ht="15.75" customHeight="1">
      <c r="A27" s="4" t="s">
        <v>179</v>
      </c>
      <c r="B27" s="6"/>
      <c r="C27" s="6"/>
      <c r="D27" s="6"/>
    </row>
    <row r="28" ht="15.75" customHeight="1">
      <c r="A28" s="8" t="s">
        <v>180</v>
      </c>
      <c r="B28" s="17">
        <v>0.03</v>
      </c>
      <c r="C28" s="3" t="s">
        <v>182</v>
      </c>
      <c r="D28" s="3" t="s">
        <v>184</v>
      </c>
    </row>
    <row r="29" ht="15.75" customHeight="1">
      <c r="A29" s="8" t="s">
        <v>186</v>
      </c>
      <c r="B29" s="17">
        <v>0.05</v>
      </c>
      <c r="C29" s="3" t="s">
        <v>182</v>
      </c>
      <c r="D29" s="3" t="s">
        <v>40</v>
      </c>
    </row>
    <row r="30" ht="15.75" customHeight="1">
      <c r="A30" s="8" t="s">
        <v>187</v>
      </c>
      <c r="B30" s="16">
        <v>5.0</v>
      </c>
      <c r="C30" s="3" t="s">
        <v>189</v>
      </c>
      <c r="D30" s="3" t="s">
        <v>40</v>
      </c>
    </row>
    <row r="31" ht="15.75" customHeight="1">
      <c r="A31" s="8" t="s">
        <v>192</v>
      </c>
      <c r="B31" s="10">
        <v>50000.0</v>
      </c>
      <c r="C31" s="3" t="s">
        <v>195</v>
      </c>
      <c r="D31" s="3" t="s">
        <v>40</v>
      </c>
    </row>
    <row r="32" ht="15.75" customHeight="1">
      <c r="A32" s="8" t="s">
        <v>197</v>
      </c>
      <c r="B32" s="25">
        <v>0.2</v>
      </c>
      <c r="C32" s="3" t="s">
        <v>198</v>
      </c>
      <c r="D32" s="3" t="s">
        <v>120</v>
      </c>
    </row>
    <row r="33" ht="15.75" customHeight="1"/>
    <row r="34" ht="15.75" customHeight="1">
      <c r="A34" s="4" t="s">
        <v>199</v>
      </c>
      <c r="B34" s="6"/>
      <c r="C34" s="6"/>
      <c r="D34" s="6"/>
    </row>
    <row r="35" ht="15.75" customHeight="1">
      <c r="A35" s="8" t="s">
        <v>202</v>
      </c>
      <c r="B35" s="17">
        <v>0.05</v>
      </c>
      <c r="C35" s="3" t="s">
        <v>203</v>
      </c>
      <c r="D35" s="3" t="s">
        <v>206</v>
      </c>
    </row>
    <row r="36" ht="15.75" customHeight="1">
      <c r="A36" s="8" t="s">
        <v>207</v>
      </c>
      <c r="B36" s="17">
        <v>0.06</v>
      </c>
      <c r="C36" s="3" t="s">
        <v>203</v>
      </c>
      <c r="D36" s="3" t="s">
        <v>40</v>
      </c>
    </row>
    <row r="37" ht="15.75" customHeight="1">
      <c r="A37" s="8" t="s">
        <v>209</v>
      </c>
      <c r="B37" s="26">
        <f>'Revenue Estimate'!B20</f>
        <v>53213333.33</v>
      </c>
      <c r="C37" s="3" t="s">
        <v>103</v>
      </c>
      <c r="D37" s="3" t="s">
        <v>215</v>
      </c>
    </row>
    <row r="38" ht="15.75" customHeight="1">
      <c r="A38" s="8" t="s">
        <v>217</v>
      </c>
      <c r="B38" s="13">
        <v>1250.0</v>
      </c>
      <c r="C38" s="3" t="s">
        <v>38</v>
      </c>
      <c r="D38" s="3" t="s">
        <v>218</v>
      </c>
    </row>
    <row r="39" ht="15.75" customHeight="1">
      <c r="A39" s="8" t="s">
        <v>220</v>
      </c>
      <c r="B39" s="13">
        <v>1500.0</v>
      </c>
      <c r="C39" s="3" t="s">
        <v>38</v>
      </c>
      <c r="D39" s="3" t="s">
        <v>222</v>
      </c>
    </row>
    <row r="40" ht="15.75" customHeight="1">
      <c r="A40" s="8" t="s">
        <v>224</v>
      </c>
      <c r="B40" s="17">
        <v>0.3</v>
      </c>
      <c r="C40" s="3" t="s">
        <v>130</v>
      </c>
      <c r="D40" s="3" t="s">
        <v>227</v>
      </c>
    </row>
    <row r="41" ht="15.75" customHeight="1">
      <c r="A41" s="8" t="s">
        <v>228</v>
      </c>
      <c r="B41" s="17">
        <v>0.4</v>
      </c>
      <c r="C41" s="3" t="s">
        <v>130</v>
      </c>
      <c r="D41" s="3" t="s">
        <v>229</v>
      </c>
    </row>
    <row r="42" ht="15.75" customHeight="1"/>
    <row r="43" ht="15.75" customHeight="1">
      <c r="A43" s="4" t="s">
        <v>230</v>
      </c>
      <c r="B43" s="6"/>
      <c r="C43" s="6"/>
      <c r="D43" s="6"/>
    </row>
    <row r="44" ht="15.75" customHeight="1">
      <c r="A44" s="8" t="s">
        <v>232</v>
      </c>
      <c r="B44" s="10">
        <v>40400.0</v>
      </c>
      <c r="C44" s="3" t="s">
        <v>127</v>
      </c>
      <c r="D44" s="3" t="s">
        <v>235</v>
      </c>
    </row>
    <row r="45" ht="15.75" customHeight="1">
      <c r="A45" s="8" t="s">
        <v>236</v>
      </c>
      <c r="B45" s="17">
        <v>0.15</v>
      </c>
      <c r="C45" s="3" t="s">
        <v>237</v>
      </c>
      <c r="D45" s="3" t="s">
        <v>238</v>
      </c>
    </row>
    <row r="46" ht="15.75" customHeight="1">
      <c r="A46" s="8" t="s">
        <v>239</v>
      </c>
      <c r="B46" s="18">
        <f>B44*(1+B45)</f>
        <v>46460</v>
      </c>
      <c r="C46" s="3" t="s">
        <v>127</v>
      </c>
      <c r="D46" s="3" t="s">
        <v>139</v>
      </c>
    </row>
    <row r="47" ht="15.75" customHeight="1">
      <c r="A47" s="8" t="s">
        <v>244</v>
      </c>
      <c r="B47" s="10">
        <v>500000.0</v>
      </c>
      <c r="C47" s="3" t="s">
        <v>127</v>
      </c>
      <c r="D47" s="3" t="s">
        <v>245</v>
      </c>
    </row>
    <row r="48" ht="15.75" customHeight="1"/>
    <row r="49" ht="15.75" customHeight="1">
      <c r="A49" s="2" t="s">
        <v>246</v>
      </c>
    </row>
    <row r="50" ht="15.75" customHeight="1"/>
    <row r="51" ht="15.75" customHeight="1">
      <c r="A51" s="4" t="s">
        <v>249</v>
      </c>
      <c r="B51" s="6"/>
      <c r="C51" s="6"/>
      <c r="D51" s="6"/>
    </row>
    <row r="52" ht="15.75" customHeight="1">
      <c r="A52" s="8" t="s">
        <v>252</v>
      </c>
      <c r="B52" s="26">
        <f>'n8n Running Costs'!C19</f>
        <v>3250</v>
      </c>
      <c r="C52" s="3" t="s">
        <v>127</v>
      </c>
      <c r="D52" s="3" t="s">
        <v>257</v>
      </c>
    </row>
    <row r="53" ht="15.75" customHeight="1">
      <c r="A53" s="8" t="s">
        <v>258</v>
      </c>
      <c r="B53" s="26">
        <f>'n8n Running Costs'!C20</f>
        <v>4500</v>
      </c>
      <c r="C53" s="3" t="s">
        <v>127</v>
      </c>
      <c r="D53" s="3" t="s">
        <v>257</v>
      </c>
    </row>
    <row r="54" ht="15.75" customHeight="1">
      <c r="A54" s="8" t="s">
        <v>262</v>
      </c>
      <c r="B54" s="26">
        <f>'n8n Running Costs'!C21</f>
        <v>462</v>
      </c>
      <c r="C54" s="3" t="s">
        <v>135</v>
      </c>
      <c r="D54" s="3" t="s">
        <v>257</v>
      </c>
    </row>
    <row r="55" ht="15.75" customHeight="1">
      <c r="A55" s="8" t="s">
        <v>263</v>
      </c>
      <c r="B55" s="26">
        <f>'n8n Running Costs'!C22</f>
        <v>700</v>
      </c>
      <c r="C55" s="3" t="s">
        <v>135</v>
      </c>
      <c r="D55" s="3" t="s">
        <v>257</v>
      </c>
    </row>
    <row r="56" ht="15.75" customHeight="1">
      <c r="A56" s="8" t="s">
        <v>264</v>
      </c>
      <c r="B56" s="18">
        <f t="shared" ref="B56:B57" si="1">B52+B54*12</f>
        <v>8794</v>
      </c>
      <c r="C56" s="3" t="s">
        <v>103</v>
      </c>
      <c r="D56" s="3" t="s">
        <v>139</v>
      </c>
    </row>
    <row r="57" ht="15.75" customHeight="1">
      <c r="A57" s="8" t="s">
        <v>266</v>
      </c>
      <c r="B57" s="18">
        <f t="shared" si="1"/>
        <v>12900</v>
      </c>
      <c r="C57" s="3" t="s">
        <v>103</v>
      </c>
      <c r="D57" s="3" t="s">
        <v>139</v>
      </c>
    </row>
    <row r="58" ht="15.75" customHeight="1"/>
    <row r="59" ht="15.75" customHeight="1">
      <c r="A59" s="31" t="s">
        <v>271</v>
      </c>
      <c r="B59" s="32"/>
      <c r="C59" s="32"/>
      <c r="D59" s="33"/>
    </row>
    <row r="60" ht="15.75" customHeight="1"/>
    <row r="61" ht="15.75" customHeight="1">
      <c r="A61" s="4" t="s">
        <v>276</v>
      </c>
      <c r="B61" s="6"/>
      <c r="C61" s="6"/>
      <c r="D61" s="6"/>
    </row>
    <row r="62" ht="15.75" customHeight="1">
      <c r="A62" s="8" t="s">
        <v>278</v>
      </c>
      <c r="B62" s="10">
        <v>65000.0</v>
      </c>
      <c r="C62" s="3" t="s">
        <v>103</v>
      </c>
      <c r="D62" s="3" t="s">
        <v>279</v>
      </c>
    </row>
    <row r="63" ht="15.75" customHeight="1">
      <c r="A63" s="8" t="s">
        <v>280</v>
      </c>
      <c r="B63" s="10">
        <v>70000.0</v>
      </c>
      <c r="C63" s="3" t="s">
        <v>103</v>
      </c>
      <c r="D63" s="3" t="s">
        <v>281</v>
      </c>
    </row>
    <row r="64" ht="15.75" customHeight="1">
      <c r="A64" s="8" t="s">
        <v>282</v>
      </c>
      <c r="B64" s="18">
        <f>B62*(1+B17+B18)</f>
        <v>87750</v>
      </c>
      <c r="C64" s="3" t="s">
        <v>103</v>
      </c>
      <c r="D64" s="3" t="s">
        <v>139</v>
      </c>
    </row>
    <row r="65" ht="15.75" customHeight="1">
      <c r="A65" s="8" t="s">
        <v>284</v>
      </c>
      <c r="B65" s="18">
        <f>B63*(1+B17+B18)</f>
        <v>94500</v>
      </c>
      <c r="C65" s="3" t="s">
        <v>103</v>
      </c>
      <c r="D65" s="3" t="s">
        <v>139</v>
      </c>
    </row>
    <row r="66" ht="15.75" customHeight="1">
      <c r="A66" s="2" t="s">
        <v>287</v>
      </c>
    </row>
    <row r="67" ht="15.75" customHeight="1"/>
    <row r="68" ht="15.75" customHeight="1">
      <c r="A68" s="4" t="s">
        <v>289</v>
      </c>
      <c r="B68" s="6"/>
      <c r="C68" s="6"/>
      <c r="D68" s="6"/>
    </row>
    <row r="69" ht="15.75" customHeight="1">
      <c r="A69" s="2" t="s">
        <v>290</v>
      </c>
      <c r="D69" s="2" t="s">
        <v>291</v>
      </c>
    </row>
    <row r="70" ht="15.75" customHeight="1">
      <c r="A70" s="2" t="s">
        <v>292</v>
      </c>
      <c r="D70" s="2" t="s">
        <v>293</v>
      </c>
    </row>
    <row r="71" ht="15.75" customHeight="1">
      <c r="A71" s="2" t="s">
        <v>295</v>
      </c>
      <c r="D71" s="2" t="s">
        <v>296</v>
      </c>
    </row>
    <row r="72" ht="15.75" customHeight="1">
      <c r="A72" s="2" t="s">
        <v>297</v>
      </c>
      <c r="D72" s="2" t="s">
        <v>298</v>
      </c>
    </row>
    <row r="73" ht="15.75" customHeight="1">
      <c r="A73" s="2" t="s">
        <v>300</v>
      </c>
      <c r="D73" s="2" t="s">
        <v>301</v>
      </c>
    </row>
    <row r="74" ht="15.75" customHeight="1">
      <c r="A74" s="2" t="s">
        <v>302</v>
      </c>
      <c r="D74" s="2" t="s">
        <v>303</v>
      </c>
    </row>
    <row r="75" ht="15.75" customHeight="1">
      <c r="A75" s="2" t="s">
        <v>304</v>
      </c>
      <c r="D75" s="2" t="s">
        <v>305</v>
      </c>
    </row>
    <row r="76" ht="15.75" customHeight="1">
      <c r="A76" s="2" t="s">
        <v>306</v>
      </c>
    </row>
    <row r="77" ht="15.75" customHeight="1">
      <c r="A77" s="2" t="s">
        <v>309</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71:C71"/>
    <mergeCell ref="A72:C72"/>
    <mergeCell ref="A73:C73"/>
    <mergeCell ref="A74:C74"/>
    <mergeCell ref="A75:C75"/>
    <mergeCell ref="A76:D76"/>
    <mergeCell ref="A77:D77"/>
    <mergeCell ref="A1:D1"/>
    <mergeCell ref="A2:D2"/>
    <mergeCell ref="A49:D49"/>
    <mergeCell ref="A59:D59"/>
    <mergeCell ref="A66:D66"/>
    <mergeCell ref="A69:C69"/>
    <mergeCell ref="A70:C70"/>
  </mergeCells>
  <printOptions/>
  <pageMargins bottom="1.0" footer="0.0" header="0.0" left="0.75" right="0.75" top="1.0"/>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6.0"/>
    <col customWidth="1" min="2" max="2" width="13.0"/>
    <col customWidth="1" min="3" max="3" width="9.0"/>
    <col customWidth="1" min="4" max="4" width="15.0"/>
    <col customWidth="1" min="5" max="5" width="54.0"/>
    <col customWidth="1" min="6" max="26" width="8.71"/>
  </cols>
  <sheetData>
    <row r="1">
      <c r="A1" s="1" t="s">
        <v>0</v>
      </c>
    </row>
    <row r="2">
      <c r="A2" s="2" t="s">
        <v>5</v>
      </c>
    </row>
    <row r="3">
      <c r="A3" s="3" t="s">
        <v>7</v>
      </c>
      <c r="B3" s="3" t="s">
        <v>11</v>
      </c>
      <c r="C3" s="3" t="s">
        <v>14</v>
      </c>
      <c r="D3" s="3" t="s">
        <v>18</v>
      </c>
      <c r="E3" s="3" t="s">
        <v>20</v>
      </c>
    </row>
    <row r="4">
      <c r="A4" s="4" t="s">
        <v>22</v>
      </c>
      <c r="B4" s="6"/>
      <c r="C4" s="6"/>
      <c r="D4" s="6"/>
      <c r="E4" s="6"/>
    </row>
    <row r="5">
      <c r="A5" s="8" t="s">
        <v>25</v>
      </c>
      <c r="B5" s="10">
        <v>550.0</v>
      </c>
      <c r="C5" s="12" t="s">
        <v>31</v>
      </c>
      <c r="D5" s="14"/>
      <c r="E5" s="3" t="s">
        <v>45</v>
      </c>
    </row>
    <row r="6">
      <c r="A6" s="8" t="s">
        <v>49</v>
      </c>
      <c r="B6" s="10">
        <v>600.0</v>
      </c>
      <c r="C6" s="12" t="s">
        <v>31</v>
      </c>
      <c r="D6" s="14"/>
      <c r="E6" s="3" t="s">
        <v>45</v>
      </c>
    </row>
    <row r="7">
      <c r="A7" s="8" t="s">
        <v>57</v>
      </c>
      <c r="B7" s="10">
        <v>500.0</v>
      </c>
      <c r="C7" s="12" t="s">
        <v>31</v>
      </c>
      <c r="D7" s="14"/>
      <c r="E7" s="3" t="s">
        <v>45</v>
      </c>
    </row>
    <row r="8">
      <c r="A8" s="8" t="s">
        <v>61</v>
      </c>
      <c r="B8" s="10">
        <v>550.0</v>
      </c>
      <c r="C8" s="12" t="s">
        <v>31</v>
      </c>
      <c r="D8" s="14"/>
      <c r="E8" s="3" t="s">
        <v>71</v>
      </c>
    </row>
    <row r="10">
      <c r="A10" s="4" t="s">
        <v>74</v>
      </c>
      <c r="B10" s="6"/>
      <c r="C10" s="6"/>
      <c r="D10" s="6"/>
      <c r="E10" s="6"/>
    </row>
    <row r="11">
      <c r="A11" s="8" t="s">
        <v>80</v>
      </c>
      <c r="B11" s="18">
        <f t="shared" ref="B11:B12" si="1">B5</f>
        <v>550</v>
      </c>
      <c r="C11" s="16">
        <v>5.0</v>
      </c>
      <c r="D11" s="18">
        <f t="shared" ref="D11:D13" si="2">B11*C11</f>
        <v>2750</v>
      </c>
      <c r="E11" s="3" t="s">
        <v>126</v>
      </c>
    </row>
    <row r="12">
      <c r="A12" s="8" t="s">
        <v>129</v>
      </c>
      <c r="B12" s="18">
        <f t="shared" si="1"/>
        <v>600</v>
      </c>
      <c r="C12" s="16">
        <v>4.0</v>
      </c>
      <c r="D12" s="18">
        <f t="shared" si="2"/>
        <v>2400</v>
      </c>
      <c r="E12" s="3" t="s">
        <v>134</v>
      </c>
    </row>
    <row r="13">
      <c r="A13" s="8" t="s">
        <v>136</v>
      </c>
      <c r="B13" s="18">
        <f>B5</f>
        <v>550</v>
      </c>
      <c r="C13" s="16">
        <v>3.0</v>
      </c>
      <c r="D13" s="18">
        <f t="shared" si="2"/>
        <v>1650</v>
      </c>
      <c r="E13" s="3" t="s">
        <v>140</v>
      </c>
    </row>
    <row r="14">
      <c r="A14" s="20" t="s">
        <v>142</v>
      </c>
      <c r="B14" s="21"/>
      <c r="C14" s="21"/>
      <c r="D14" s="22">
        <f>SUM(D11:D13)</f>
        <v>6800</v>
      </c>
      <c r="E14" s="23" t="s">
        <v>157</v>
      </c>
    </row>
    <row r="16">
      <c r="A16" s="4" t="s">
        <v>159</v>
      </c>
      <c r="B16" s="6"/>
      <c r="C16" s="6"/>
      <c r="D16" s="6"/>
      <c r="E16" s="6"/>
    </row>
    <row r="17">
      <c r="A17" s="8" t="s">
        <v>161</v>
      </c>
      <c r="B17" s="18">
        <f>B6</f>
        <v>600</v>
      </c>
      <c r="C17" s="16">
        <v>3.0</v>
      </c>
      <c r="D17" s="18">
        <f t="shared" ref="D17:D22" si="3">B17*C17</f>
        <v>1800</v>
      </c>
      <c r="E17" s="3" t="s">
        <v>167</v>
      </c>
    </row>
    <row r="18">
      <c r="A18" s="8" t="s">
        <v>66</v>
      </c>
      <c r="B18" s="18">
        <f t="shared" ref="B18:B19" si="4">B6</f>
        <v>600</v>
      </c>
      <c r="C18" s="16">
        <v>3.0</v>
      </c>
      <c r="D18" s="18">
        <f t="shared" si="3"/>
        <v>1800</v>
      </c>
      <c r="E18" s="3" t="s">
        <v>172</v>
      </c>
    </row>
    <row r="19">
      <c r="A19" s="8" t="s">
        <v>173</v>
      </c>
      <c r="B19" s="18">
        <f t="shared" si="4"/>
        <v>500</v>
      </c>
      <c r="C19" s="16">
        <v>4.0</v>
      </c>
      <c r="D19" s="18">
        <f t="shared" si="3"/>
        <v>2000</v>
      </c>
      <c r="E19" s="3" t="s">
        <v>175</v>
      </c>
    </row>
    <row r="20">
      <c r="A20" s="8" t="s">
        <v>178</v>
      </c>
      <c r="B20" s="18">
        <f t="shared" ref="B20:B21" si="5">B6</f>
        <v>600</v>
      </c>
      <c r="C20" s="16">
        <v>4.0</v>
      </c>
      <c r="D20" s="18">
        <f t="shared" si="3"/>
        <v>2400</v>
      </c>
      <c r="E20" s="3" t="s">
        <v>183</v>
      </c>
    </row>
    <row r="21" ht="15.75" customHeight="1">
      <c r="A21" s="8" t="s">
        <v>185</v>
      </c>
      <c r="B21" s="18">
        <f t="shared" si="5"/>
        <v>500</v>
      </c>
      <c r="C21" s="16">
        <v>3.0</v>
      </c>
      <c r="D21" s="18">
        <f t="shared" si="3"/>
        <v>1500</v>
      </c>
      <c r="E21" s="3" t="s">
        <v>188</v>
      </c>
    </row>
    <row r="22" ht="15.75" customHeight="1">
      <c r="A22" s="8" t="s">
        <v>191</v>
      </c>
      <c r="B22" s="18">
        <f>B7</f>
        <v>500</v>
      </c>
      <c r="C22" s="16">
        <v>2.0</v>
      </c>
      <c r="D22" s="18">
        <f t="shared" si="3"/>
        <v>1000</v>
      </c>
      <c r="E22" s="3" t="s">
        <v>194</v>
      </c>
    </row>
    <row r="23" ht="15.75" customHeight="1">
      <c r="A23" s="20" t="s">
        <v>196</v>
      </c>
      <c r="B23" s="21"/>
      <c r="C23" s="21"/>
      <c r="D23" s="22">
        <f>SUM(D17:D22)</f>
        <v>10500</v>
      </c>
      <c r="E23" s="23" t="s">
        <v>200</v>
      </c>
    </row>
    <row r="24" ht="15.75" customHeight="1"/>
    <row r="25" ht="15.75" customHeight="1">
      <c r="A25" s="4" t="s">
        <v>201</v>
      </c>
      <c r="B25" s="6"/>
      <c r="C25" s="6"/>
      <c r="D25" s="6"/>
      <c r="E25" s="6"/>
    </row>
    <row r="26" ht="15.75" customHeight="1">
      <c r="A26" s="8" t="s">
        <v>204</v>
      </c>
      <c r="B26" s="18">
        <f>B8</f>
        <v>550</v>
      </c>
      <c r="C26" s="16">
        <v>6.0</v>
      </c>
      <c r="D26" s="18">
        <f t="shared" ref="D26:D29" si="6">B26*C26</f>
        <v>3300</v>
      </c>
      <c r="E26" s="3" t="s">
        <v>210</v>
      </c>
    </row>
    <row r="27" ht="15.75" customHeight="1">
      <c r="A27" s="8" t="s">
        <v>211</v>
      </c>
      <c r="B27" s="18">
        <f>B8</f>
        <v>550</v>
      </c>
      <c r="C27" s="16">
        <v>5.0</v>
      </c>
      <c r="D27" s="18">
        <f t="shared" si="6"/>
        <v>2750</v>
      </c>
      <c r="E27" s="3" t="s">
        <v>212</v>
      </c>
    </row>
    <row r="28" ht="15.75" customHeight="1">
      <c r="A28" s="8" t="s">
        <v>213</v>
      </c>
      <c r="B28" s="18">
        <f>B6</f>
        <v>600</v>
      </c>
      <c r="C28" s="16">
        <v>4.0</v>
      </c>
      <c r="D28" s="18">
        <f t="shared" si="6"/>
        <v>2400</v>
      </c>
      <c r="E28" s="3" t="s">
        <v>214</v>
      </c>
    </row>
    <row r="29" ht="15.75" customHeight="1">
      <c r="A29" s="8" t="s">
        <v>216</v>
      </c>
      <c r="B29" s="18">
        <f>B8</f>
        <v>550</v>
      </c>
      <c r="C29" s="16">
        <v>6.0</v>
      </c>
      <c r="D29" s="18">
        <f t="shared" si="6"/>
        <v>3300</v>
      </c>
      <c r="E29" s="3" t="s">
        <v>223</v>
      </c>
    </row>
    <row r="30" ht="15.75" customHeight="1">
      <c r="A30" s="20" t="s">
        <v>225</v>
      </c>
      <c r="B30" s="21"/>
      <c r="C30" s="21"/>
      <c r="D30" s="22">
        <f>SUM(D26:D29)</f>
        <v>11750</v>
      </c>
      <c r="E30" s="23" t="s">
        <v>231</v>
      </c>
    </row>
    <row r="31" ht="15.75" customHeight="1"/>
    <row r="32" ht="15.75" customHeight="1">
      <c r="A32" s="4" t="s">
        <v>233</v>
      </c>
      <c r="B32" s="6"/>
      <c r="C32" s="6"/>
      <c r="D32" s="6"/>
      <c r="E32" s="6"/>
    </row>
    <row r="33" ht="15.75" customHeight="1">
      <c r="A33" s="8" t="s">
        <v>234</v>
      </c>
      <c r="B33" s="18">
        <f>B6</f>
        <v>600</v>
      </c>
      <c r="C33" s="16">
        <v>5.0</v>
      </c>
      <c r="D33" s="18">
        <f t="shared" ref="D33:D36" si="7">B33*C33</f>
        <v>3000</v>
      </c>
      <c r="E33" s="3" t="s">
        <v>240</v>
      </c>
    </row>
    <row r="34" ht="15.75" customHeight="1">
      <c r="A34" s="8" t="s">
        <v>242</v>
      </c>
      <c r="B34" s="18">
        <f t="shared" ref="B34:B35" si="8">B5</f>
        <v>550</v>
      </c>
      <c r="C34" s="16">
        <v>3.0</v>
      </c>
      <c r="D34" s="18">
        <f t="shared" si="7"/>
        <v>1650</v>
      </c>
      <c r="E34" s="3" t="s">
        <v>247</v>
      </c>
    </row>
    <row r="35" ht="15.75" customHeight="1">
      <c r="A35" s="8" t="s">
        <v>248</v>
      </c>
      <c r="B35" s="18">
        <f t="shared" si="8"/>
        <v>600</v>
      </c>
      <c r="C35" s="16">
        <v>2.0</v>
      </c>
      <c r="D35" s="18">
        <f t="shared" si="7"/>
        <v>1200</v>
      </c>
      <c r="E35" s="3" t="s">
        <v>250</v>
      </c>
    </row>
    <row r="36" ht="15.75" customHeight="1">
      <c r="A36" s="8" t="s">
        <v>251</v>
      </c>
      <c r="B36" s="18">
        <f>B5</f>
        <v>550</v>
      </c>
      <c r="C36" s="16">
        <v>10.0</v>
      </c>
      <c r="D36" s="18">
        <f t="shared" si="7"/>
        <v>5500</v>
      </c>
      <c r="E36" s="3" t="s">
        <v>254</v>
      </c>
    </row>
    <row r="37" ht="15.75" customHeight="1">
      <c r="A37" s="20" t="s">
        <v>256</v>
      </c>
      <c r="B37" s="21"/>
      <c r="C37" s="21"/>
      <c r="D37" s="22">
        <f>SUM(D33:D36)</f>
        <v>11350</v>
      </c>
      <c r="E37" s="23" t="s">
        <v>259</v>
      </c>
    </row>
    <row r="38" ht="15.75" customHeight="1"/>
    <row r="39" ht="15.75" customHeight="1">
      <c r="A39" s="4" t="s">
        <v>260</v>
      </c>
      <c r="B39" s="6"/>
      <c r="C39" s="6"/>
      <c r="D39" s="6"/>
      <c r="E39" s="6"/>
    </row>
    <row r="40" ht="15.75" customHeight="1">
      <c r="A40" s="27" t="s">
        <v>261</v>
      </c>
      <c r="B40" s="6"/>
      <c r="C40" s="6"/>
      <c r="D40" s="29">
        <f>D14+D23+D30+D37</f>
        <v>40400</v>
      </c>
      <c r="E40" s="6"/>
    </row>
    <row r="41" ht="15.75" customHeight="1">
      <c r="A41" s="20" t="s">
        <v>268</v>
      </c>
      <c r="B41" s="21"/>
      <c r="C41" s="21"/>
      <c r="D41" s="22">
        <f>D40*1.15</f>
        <v>46460</v>
      </c>
      <c r="E41" s="23" t="s">
        <v>275</v>
      </c>
    </row>
    <row r="42" ht="15.75" customHeight="1">
      <c r="A42" s="34" t="s">
        <v>277</v>
      </c>
      <c r="B42" s="14"/>
      <c r="C42" s="14"/>
      <c r="D42" s="35">
        <f>Assumptions!B44</f>
        <v>40400</v>
      </c>
      <c r="E42" s="14"/>
    </row>
    <row r="43" ht="15.75" customHeight="1">
      <c r="A43" s="3" t="s">
        <v>283</v>
      </c>
      <c r="B43" s="14"/>
      <c r="C43" s="14"/>
      <c r="D43" s="36">
        <f>D40-D42</f>
        <v>0</v>
      </c>
      <c r="E43" s="3" t="s">
        <v>285</v>
      </c>
    </row>
    <row r="44" ht="15.75" customHeight="1"/>
    <row r="45" ht="15.75" customHeight="1">
      <c r="A45" s="4" t="s">
        <v>286</v>
      </c>
      <c r="B45" s="6"/>
      <c r="C45" s="6"/>
      <c r="D45" s="6"/>
      <c r="E45" s="6"/>
    </row>
    <row r="46" ht="15.75" customHeight="1">
      <c r="A46" s="2" t="s">
        <v>288</v>
      </c>
    </row>
    <row r="47" ht="15.75" customHeight="1">
      <c r="A47" s="3" t="s">
        <v>7</v>
      </c>
      <c r="B47" s="3" t="s">
        <v>11</v>
      </c>
      <c r="C47" s="3" t="s">
        <v>14</v>
      </c>
      <c r="D47" s="3" t="s">
        <v>18</v>
      </c>
      <c r="E47" s="3" t="s">
        <v>20</v>
      </c>
    </row>
    <row r="48" ht="15.75" customHeight="1">
      <c r="A48" s="37" t="s">
        <v>294</v>
      </c>
      <c r="B48" s="38"/>
      <c r="C48" s="38"/>
      <c r="D48" s="38"/>
      <c r="E48" s="38"/>
    </row>
    <row r="49" ht="15.75" customHeight="1">
      <c r="A49" s="8" t="s">
        <v>299</v>
      </c>
      <c r="B49" s="10">
        <v>850.0</v>
      </c>
      <c r="C49" s="16">
        <v>12.0</v>
      </c>
      <c r="D49" s="18">
        <f t="shared" ref="D49:D52" si="9">B49*C49</f>
        <v>10200</v>
      </c>
      <c r="E49" s="3" t="s">
        <v>307</v>
      </c>
    </row>
    <row r="50" ht="15.75" customHeight="1">
      <c r="A50" s="8" t="s">
        <v>308</v>
      </c>
      <c r="B50" s="10">
        <v>800.0</v>
      </c>
      <c r="C50" s="16">
        <v>19.0</v>
      </c>
      <c r="D50" s="18">
        <f t="shared" si="9"/>
        <v>15200</v>
      </c>
      <c r="E50" s="3" t="s">
        <v>310</v>
      </c>
    </row>
    <row r="51" ht="15.75" customHeight="1">
      <c r="A51" s="8" t="s">
        <v>311</v>
      </c>
      <c r="B51" s="10">
        <v>900.0</v>
      </c>
      <c r="C51" s="16">
        <v>21.0</v>
      </c>
      <c r="D51" s="18">
        <f t="shared" si="9"/>
        <v>18900</v>
      </c>
      <c r="E51" s="3" t="s">
        <v>312</v>
      </c>
    </row>
    <row r="52" ht="15.75" customHeight="1">
      <c r="A52" s="8" t="s">
        <v>313</v>
      </c>
      <c r="B52" s="10">
        <v>850.0</v>
      </c>
      <c r="C52" s="16">
        <v>20.0</v>
      </c>
      <c r="D52" s="18">
        <f t="shared" si="9"/>
        <v>17000</v>
      </c>
      <c r="E52" s="3" t="s">
        <v>314</v>
      </c>
    </row>
    <row r="53" ht="15.75" customHeight="1">
      <c r="A53" s="20" t="s">
        <v>315</v>
      </c>
      <c r="B53" s="21"/>
      <c r="C53" s="21"/>
      <c r="D53" s="22">
        <f>SUM(D49:D52)</f>
        <v>61300</v>
      </c>
      <c r="E53" s="23" t="s">
        <v>316</v>
      </c>
    </row>
    <row r="54" ht="15.75" customHeight="1"/>
    <row r="55" ht="15.75" customHeight="1">
      <c r="A55" s="37" t="s">
        <v>317</v>
      </c>
      <c r="B55" s="38"/>
      <c r="C55" s="38"/>
      <c r="D55" s="38"/>
      <c r="E55" s="38"/>
    </row>
    <row r="56" ht="15.75" customHeight="1">
      <c r="A56" s="8" t="s">
        <v>299</v>
      </c>
      <c r="B56" s="10">
        <v>1600.0</v>
      </c>
      <c r="C56" s="16">
        <v>18.0</v>
      </c>
      <c r="D56" s="18">
        <f t="shared" ref="D56:D59" si="10">B56*C56</f>
        <v>28800</v>
      </c>
      <c r="E56" s="3" t="s">
        <v>318</v>
      </c>
    </row>
    <row r="57" ht="15.75" customHeight="1">
      <c r="A57" s="8" t="s">
        <v>319</v>
      </c>
      <c r="B57" s="10">
        <v>1400.0</v>
      </c>
      <c r="C57" s="16">
        <v>25.0</v>
      </c>
      <c r="D57" s="18">
        <f t="shared" si="10"/>
        <v>35000</v>
      </c>
      <c r="E57" s="3" t="s">
        <v>320</v>
      </c>
    </row>
    <row r="58" ht="15.75" customHeight="1">
      <c r="A58" s="8" t="s">
        <v>321</v>
      </c>
      <c r="B58" s="10">
        <v>1700.0</v>
      </c>
      <c r="C58" s="16">
        <v>28.0</v>
      </c>
      <c r="D58" s="18">
        <f t="shared" si="10"/>
        <v>47600</v>
      </c>
      <c r="E58" s="3" t="s">
        <v>322</v>
      </c>
    </row>
    <row r="59" ht="15.75" customHeight="1">
      <c r="A59" s="8" t="s">
        <v>323</v>
      </c>
      <c r="B59" s="10">
        <v>1600.0</v>
      </c>
      <c r="C59" s="16">
        <v>30.0</v>
      </c>
      <c r="D59" s="18">
        <f t="shared" si="10"/>
        <v>48000</v>
      </c>
      <c r="E59" s="3" t="s">
        <v>324</v>
      </c>
    </row>
    <row r="60" ht="15.75" customHeight="1">
      <c r="A60" s="20" t="s">
        <v>325</v>
      </c>
      <c r="B60" s="21"/>
      <c r="C60" s="21"/>
      <c r="D60" s="22">
        <f>SUM(D56:D59)</f>
        <v>159400</v>
      </c>
      <c r="E60" s="23" t="s">
        <v>326</v>
      </c>
    </row>
    <row r="61" ht="15.75" customHeight="1"/>
    <row r="62" ht="15.75" customHeight="1">
      <c r="A62" s="2" t="s">
        <v>327</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46:E46"/>
    <mergeCell ref="A62:E62"/>
  </mergeCells>
  <printOptions/>
  <pageMargins bottom="1.0" footer="0.0" header="0.0" left="0.75" right="0.75" top="1.0"/>
  <pageSetup fitToHeight="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0.0"/>
    <col customWidth="1" min="2" max="2" width="52.0"/>
    <col customWidth="1" min="3" max="4" width="16.0"/>
    <col customWidth="1" min="5" max="5" width="30.0"/>
    <col customWidth="1" min="6" max="26" width="8.71"/>
  </cols>
  <sheetData>
    <row r="1">
      <c r="A1" s="1" t="s">
        <v>1</v>
      </c>
    </row>
    <row r="2">
      <c r="A2" s="2" t="s">
        <v>4</v>
      </c>
    </row>
    <row r="3">
      <c r="A3" s="3" t="s">
        <v>8</v>
      </c>
      <c r="B3" s="3" t="s">
        <v>9</v>
      </c>
      <c r="C3" s="3" t="s">
        <v>12</v>
      </c>
      <c r="D3" s="3" t="s">
        <v>15</v>
      </c>
      <c r="E3" s="3" t="s">
        <v>17</v>
      </c>
    </row>
    <row r="4">
      <c r="A4" s="5" t="s">
        <v>21</v>
      </c>
      <c r="B4" s="7" t="s">
        <v>24</v>
      </c>
      <c r="C4" s="9" t="s">
        <v>26</v>
      </c>
      <c r="D4" s="9" t="s">
        <v>27</v>
      </c>
      <c r="E4" s="11" t="s">
        <v>29</v>
      </c>
    </row>
    <row r="5">
      <c r="A5" s="5" t="s">
        <v>32</v>
      </c>
      <c r="B5" s="7" t="s">
        <v>33</v>
      </c>
      <c r="C5" s="9" t="s">
        <v>35</v>
      </c>
      <c r="D5" s="9" t="s">
        <v>36</v>
      </c>
      <c r="E5" s="11" t="s">
        <v>29</v>
      </c>
    </row>
    <row r="6">
      <c r="A6" s="5" t="s">
        <v>37</v>
      </c>
      <c r="B6" s="7" t="s">
        <v>39</v>
      </c>
      <c r="C6" s="9" t="s">
        <v>41</v>
      </c>
      <c r="D6" s="9" t="s">
        <v>43</v>
      </c>
      <c r="E6" s="11" t="s">
        <v>44</v>
      </c>
    </row>
    <row r="7">
      <c r="A7" s="5" t="s">
        <v>48</v>
      </c>
      <c r="B7" s="7" t="s">
        <v>51</v>
      </c>
      <c r="C7" s="9" t="s">
        <v>53</v>
      </c>
      <c r="D7" s="9" t="s">
        <v>54</v>
      </c>
      <c r="E7" s="15" t="s">
        <v>56</v>
      </c>
    </row>
    <row r="8">
      <c r="A8" s="5" t="s">
        <v>59</v>
      </c>
      <c r="B8" s="7" t="s">
        <v>60</v>
      </c>
      <c r="C8" s="9" t="s">
        <v>62</v>
      </c>
      <c r="D8" s="9" t="s">
        <v>63</v>
      </c>
      <c r="E8" s="11" t="s">
        <v>29</v>
      </c>
    </row>
    <row r="9">
      <c r="A9" s="5" t="s">
        <v>66</v>
      </c>
      <c r="B9" s="7" t="s">
        <v>68</v>
      </c>
      <c r="C9" s="9" t="s">
        <v>69</v>
      </c>
      <c r="D9" s="9" t="s">
        <v>70</v>
      </c>
      <c r="E9" s="11" t="s">
        <v>29</v>
      </c>
    </row>
    <row r="10">
      <c r="A10" s="5" t="s">
        <v>73</v>
      </c>
      <c r="B10" s="7" t="s">
        <v>75</v>
      </c>
      <c r="C10" s="9" t="s">
        <v>76</v>
      </c>
      <c r="D10" s="9" t="s">
        <v>77</v>
      </c>
      <c r="E10" s="15" t="s">
        <v>79</v>
      </c>
    </row>
    <row r="11">
      <c r="A11" s="5" t="s">
        <v>82</v>
      </c>
      <c r="B11" s="7" t="s">
        <v>83</v>
      </c>
      <c r="C11" s="9" t="s">
        <v>84</v>
      </c>
      <c r="D11" s="9" t="s">
        <v>86</v>
      </c>
      <c r="E11" s="15" t="s">
        <v>88</v>
      </c>
    </row>
    <row r="12">
      <c r="A12" s="5" t="s">
        <v>89</v>
      </c>
      <c r="B12" s="7" t="s">
        <v>91</v>
      </c>
      <c r="C12" s="9" t="s">
        <v>93</v>
      </c>
      <c r="D12" s="9" t="s">
        <v>93</v>
      </c>
      <c r="E12" s="11" t="s">
        <v>29</v>
      </c>
    </row>
    <row r="13">
      <c r="A13" s="5" t="s">
        <v>95</v>
      </c>
      <c r="B13" s="7" t="s">
        <v>97</v>
      </c>
      <c r="C13" s="9" t="s">
        <v>98</v>
      </c>
      <c r="D13" s="9" t="s">
        <v>99</v>
      </c>
      <c r="E13" s="11" t="s">
        <v>100</v>
      </c>
    </row>
    <row r="14">
      <c r="A14" s="5" t="s">
        <v>102</v>
      </c>
      <c r="B14" s="7" t="s">
        <v>104</v>
      </c>
      <c r="C14" s="9" t="s">
        <v>106</v>
      </c>
      <c r="D14" s="9" t="s">
        <v>99</v>
      </c>
      <c r="E14" s="11" t="s">
        <v>108</v>
      </c>
    </row>
    <row r="15">
      <c r="A15" s="5" t="s">
        <v>109</v>
      </c>
      <c r="B15" s="7" t="s">
        <v>110</v>
      </c>
      <c r="C15" s="9" t="s">
        <v>111</v>
      </c>
      <c r="D15" s="9" t="s">
        <v>112</v>
      </c>
      <c r="E15" s="11" t="s">
        <v>113</v>
      </c>
    </row>
    <row r="16">
      <c r="A16" s="5" t="s">
        <v>116</v>
      </c>
      <c r="B16" s="7" t="s">
        <v>118</v>
      </c>
      <c r="C16" s="9" t="s">
        <v>119</v>
      </c>
      <c r="D16" s="9" t="s">
        <v>70</v>
      </c>
      <c r="E16" s="11" t="s">
        <v>29</v>
      </c>
    </row>
    <row r="18">
      <c r="A18" s="4" t="s">
        <v>122</v>
      </c>
      <c r="B18" s="6"/>
      <c r="C18" s="6"/>
      <c r="D18" s="6"/>
      <c r="E18" s="6"/>
    </row>
    <row r="19">
      <c r="A19" s="8" t="s">
        <v>123</v>
      </c>
      <c r="B19" s="14"/>
      <c r="C19" s="19">
        <v>3250.0</v>
      </c>
      <c r="D19" s="3" t="s">
        <v>127</v>
      </c>
      <c r="E19" s="3" t="s">
        <v>128</v>
      </c>
    </row>
    <row r="20">
      <c r="A20" s="8" t="s">
        <v>131</v>
      </c>
      <c r="B20" s="14"/>
      <c r="C20" s="19">
        <v>4500.0</v>
      </c>
      <c r="D20" s="3" t="s">
        <v>127</v>
      </c>
      <c r="E20" s="3" t="s">
        <v>128</v>
      </c>
    </row>
    <row r="21" ht="15.75" customHeight="1">
      <c r="A21" s="8" t="s">
        <v>133</v>
      </c>
      <c r="B21" s="14"/>
      <c r="C21" s="19">
        <v>462.0</v>
      </c>
      <c r="D21" s="3" t="s">
        <v>135</v>
      </c>
      <c r="E21" s="3" t="s">
        <v>128</v>
      </c>
    </row>
    <row r="22" ht="15.75" customHeight="1">
      <c r="A22" s="8" t="s">
        <v>137</v>
      </c>
      <c r="B22" s="14"/>
      <c r="C22" s="19">
        <v>700.0</v>
      </c>
      <c r="D22" s="3" t="s">
        <v>135</v>
      </c>
      <c r="E22" s="3" t="s">
        <v>128</v>
      </c>
    </row>
    <row r="23" ht="15.75" customHeight="1">
      <c r="A23" s="8" t="s">
        <v>138</v>
      </c>
      <c r="B23" s="14"/>
      <c r="C23" s="18">
        <f t="shared" ref="C23:C24" si="1">C19+C21*12</f>
        <v>8794</v>
      </c>
      <c r="D23" s="3" t="s">
        <v>103</v>
      </c>
      <c r="E23" s="14"/>
    </row>
    <row r="24" ht="15.75" customHeight="1">
      <c r="A24" s="8" t="s">
        <v>154</v>
      </c>
      <c r="B24" s="14"/>
      <c r="C24" s="18">
        <f t="shared" si="1"/>
        <v>12900</v>
      </c>
      <c r="D24" s="3" t="s">
        <v>103</v>
      </c>
      <c r="E24" s="14"/>
    </row>
    <row r="25" ht="15.75" customHeight="1"/>
    <row r="26" ht="15.75" customHeight="1">
      <c r="A26" s="4" t="s">
        <v>158</v>
      </c>
      <c r="B26" s="6"/>
      <c r="C26" s="6"/>
      <c r="D26" s="6"/>
      <c r="E26" s="6"/>
    </row>
    <row r="27" ht="15.75" customHeight="1">
      <c r="A27" s="8" t="s">
        <v>160</v>
      </c>
      <c r="B27" s="14"/>
      <c r="C27" s="19">
        <v>20000.0</v>
      </c>
      <c r="D27" s="3" t="s">
        <v>103</v>
      </c>
      <c r="E27" s="3" t="s">
        <v>162</v>
      </c>
    </row>
    <row r="28" ht="15.75" customHeight="1">
      <c r="A28" s="8" t="s">
        <v>163</v>
      </c>
      <c r="B28" s="14"/>
      <c r="C28" s="19">
        <v>40000.0</v>
      </c>
      <c r="D28" s="3" t="s">
        <v>103</v>
      </c>
      <c r="E28" s="3" t="s">
        <v>162</v>
      </c>
    </row>
    <row r="29" ht="15.75" customHeight="1">
      <c r="A29" s="8" t="s">
        <v>165</v>
      </c>
      <c r="B29" s="14"/>
      <c r="C29" s="19">
        <v>11000.0</v>
      </c>
      <c r="D29" s="3" t="s">
        <v>103</v>
      </c>
      <c r="E29" s="3" t="s">
        <v>162</v>
      </c>
    </row>
    <row r="30" ht="15.75" customHeight="1">
      <c r="A30" s="8" t="s">
        <v>168</v>
      </c>
      <c r="B30" s="14"/>
      <c r="C30" s="19">
        <v>30000.0</v>
      </c>
      <c r="D30" s="3" t="s">
        <v>103</v>
      </c>
      <c r="E30" s="3" t="s">
        <v>162</v>
      </c>
    </row>
    <row r="31" ht="15.75" customHeight="1"/>
    <row r="32" ht="15.75" customHeight="1">
      <c r="A32" s="2" t="s">
        <v>171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A2:E2"/>
    <mergeCell ref="A32:E32"/>
  </mergeCells>
  <printOptions/>
  <pageMargins bottom="1.0" footer="0.0" header="0.0" left="0.75" right="0.75" top="1.0"/>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6.0"/>
    <col customWidth="1" min="2" max="3" width="14.0"/>
    <col customWidth="1" min="4" max="4" width="50.0"/>
    <col customWidth="1" min="5" max="26" width="8.71"/>
  </cols>
  <sheetData>
    <row r="1">
      <c r="A1" s="1" t="s">
        <v>23</v>
      </c>
    </row>
    <row r="2">
      <c r="A2" s="2" t="s">
        <v>28</v>
      </c>
    </row>
    <row r="4">
      <c r="A4" s="4" t="s">
        <v>34</v>
      </c>
      <c r="B4" s="6"/>
      <c r="C4" s="6"/>
      <c r="D4" s="6"/>
    </row>
    <row r="5">
      <c r="A5" s="8" t="s">
        <v>58</v>
      </c>
      <c r="B5" s="18">
        <f>Assumptions!B10*Assumptions!B5*Assumptions!B6</f>
        <v>4160000</v>
      </c>
      <c r="C5" s="14"/>
      <c r="D5" s="3" t="s">
        <v>124</v>
      </c>
    </row>
    <row r="6">
      <c r="A6" s="8" t="s">
        <v>125</v>
      </c>
      <c r="B6" s="17">
        <v>0.15</v>
      </c>
      <c r="C6" s="3" t="s">
        <v>130</v>
      </c>
    </row>
    <row r="7">
      <c r="A7" s="8" t="s">
        <v>132</v>
      </c>
      <c r="B7" s="18">
        <f>B5*(1-B6)</f>
        <v>3536000</v>
      </c>
      <c r="C7" s="14"/>
      <c r="D7" s="3" t="s">
        <v>143</v>
      </c>
    </row>
    <row r="8">
      <c r="A8" s="8" t="s">
        <v>146</v>
      </c>
      <c r="B8" s="18">
        <f>B7/Assumptions!B36</f>
        <v>58933333.33</v>
      </c>
      <c r="C8" s="18">
        <f>B7/Assumptions!B35</f>
        <v>70720000</v>
      </c>
      <c r="D8" s="3" t="s">
        <v>164</v>
      </c>
    </row>
    <row r="10">
      <c r="A10" s="4" t="s">
        <v>166</v>
      </c>
      <c r="B10" s="6"/>
      <c r="C10" s="6"/>
      <c r="D10" s="6"/>
    </row>
    <row r="11">
      <c r="A11" s="8" t="s">
        <v>170</v>
      </c>
      <c r="B11" s="10">
        <v>82.0</v>
      </c>
      <c r="C11" s="3" t="s">
        <v>174</v>
      </c>
    </row>
    <row r="12">
      <c r="A12" s="8" t="s">
        <v>177</v>
      </c>
      <c r="B12" s="10">
        <v>118.0</v>
      </c>
      <c r="C12" s="3" t="s">
        <v>174</v>
      </c>
    </row>
    <row r="13">
      <c r="A13" s="8" t="s">
        <v>181</v>
      </c>
      <c r="B13" s="16">
        <v>8.0</v>
      </c>
      <c r="C13" s="3" t="s">
        <v>190</v>
      </c>
    </row>
    <row r="14">
      <c r="A14" s="8" t="s">
        <v>193</v>
      </c>
      <c r="B14" s="18">
        <f>B11*B13</f>
        <v>656</v>
      </c>
      <c r="C14" s="18">
        <f>B12*B13</f>
        <v>944</v>
      </c>
      <c r="D14" s="3" t="s">
        <v>205</v>
      </c>
    </row>
    <row r="15">
      <c r="A15" s="8" t="s">
        <v>208</v>
      </c>
      <c r="B15" s="18">
        <f>B14*Assumptions!B5*Assumptions!B6</f>
        <v>34112000</v>
      </c>
      <c r="C15" s="18">
        <f>C14*Assumptions!B5*Assumptions!B6</f>
        <v>49088000</v>
      </c>
      <c r="D15" s="3" t="s">
        <v>219</v>
      </c>
    </row>
    <row r="17">
      <c r="A17" s="4" t="s">
        <v>221</v>
      </c>
      <c r="B17" s="6"/>
      <c r="C17" s="6"/>
      <c r="D17" s="6"/>
    </row>
    <row r="18">
      <c r="A18" s="8" t="s">
        <v>226</v>
      </c>
      <c r="B18" s="18">
        <f>MIN(B8:C8,B15:C15)</f>
        <v>34112000</v>
      </c>
      <c r="C18" s="14"/>
      <c r="D18" s="3" t="s">
        <v>241</v>
      </c>
    </row>
    <row r="19">
      <c r="A19" s="8" t="s">
        <v>243</v>
      </c>
      <c r="B19" s="18">
        <f>MAX(B8:C8,B15:C15)</f>
        <v>70720000</v>
      </c>
      <c r="C19" s="14"/>
      <c r="D19" s="3" t="s">
        <v>253</v>
      </c>
    </row>
    <row r="20">
      <c r="A20" s="8" t="s">
        <v>255</v>
      </c>
      <c r="B20" s="28">
        <f>AVERAGE(AVERAGE(B8:C8),AVERAGE(B15:C15))</f>
        <v>53213333.33</v>
      </c>
      <c r="C20" s="14"/>
      <c r="D20" s="3" t="s">
        <v>265</v>
      </c>
    </row>
    <row r="21" ht="15.75" customHeight="1"/>
    <row r="22" ht="15.75" customHeight="1">
      <c r="A22" s="30" t="s">
        <v>267</v>
      </c>
    </row>
    <row r="23" ht="15.75" customHeight="1">
      <c r="A23" s="2" t="s">
        <v>269</v>
      </c>
      <c r="B23" s="2" t="s">
        <v>270</v>
      </c>
    </row>
    <row r="24" ht="15.75" customHeight="1">
      <c r="A24" s="2" t="s">
        <v>272</v>
      </c>
      <c r="B24" s="2" t="s">
        <v>273</v>
      </c>
    </row>
    <row r="25" ht="15.75" customHeight="1">
      <c r="A25" s="2" t="s">
        <v>274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25:D25"/>
  </mergeCells>
  <printOptions/>
  <pageMargins bottom="1.0" footer="0.0" header="0.0" left="0.75" right="0.75" top="1.0"/>
  <pageSetup fitToHeight="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6.0"/>
    <col customWidth="1" min="2" max="3" width="16.0"/>
    <col customWidth="1" min="4" max="4" width="44.0"/>
    <col customWidth="1" min="5" max="26" width="8.71"/>
  </cols>
  <sheetData>
    <row r="1">
      <c r="A1" s="1" t="s">
        <v>328</v>
      </c>
    </row>
    <row r="2">
      <c r="A2" s="2" t="s">
        <v>329</v>
      </c>
    </row>
    <row r="4">
      <c r="A4" s="39"/>
      <c r="B4" s="2" t="s">
        <v>330</v>
      </c>
      <c r="C4" s="2" t="s">
        <v>331</v>
      </c>
      <c r="D4" s="2" t="s">
        <v>332</v>
      </c>
    </row>
    <row r="5">
      <c r="A5" s="4" t="s">
        <v>333</v>
      </c>
      <c r="B5" s="6"/>
      <c r="C5" s="6"/>
      <c r="D5" s="6"/>
    </row>
    <row r="6">
      <c r="A6" s="8" t="s">
        <v>334</v>
      </c>
      <c r="B6" s="28">
        <f>Assumptions!B25*Assumptions!B8</f>
        <v>436.9419643</v>
      </c>
      <c r="C6" s="28">
        <f>Assumptions!B25*Assumptions!B9</f>
        <v>655.4129464</v>
      </c>
      <c r="D6" s="3" t="s">
        <v>335</v>
      </c>
    </row>
    <row r="7">
      <c r="A7" s="8" t="s">
        <v>336</v>
      </c>
      <c r="B7" s="28">
        <f>B6*Assumptions!B6</f>
        <v>22720.98214</v>
      </c>
      <c r="C7" s="28">
        <f>C6*Assumptions!B6</f>
        <v>34081.47321</v>
      </c>
      <c r="D7" s="3" t="s">
        <v>337</v>
      </c>
    </row>
    <row r="9">
      <c r="A9" s="4" t="s">
        <v>338</v>
      </c>
      <c r="B9" s="6"/>
      <c r="C9" s="6"/>
      <c r="D9" s="6"/>
    </row>
    <row r="10">
      <c r="A10" s="8" t="s">
        <v>339</v>
      </c>
      <c r="B10" s="28">
        <f>Assumptions!B10*Assumptions!B5*Assumptions!B6</f>
        <v>4160000</v>
      </c>
      <c r="C10" s="14"/>
      <c r="D10" s="3" t="s">
        <v>340</v>
      </c>
    </row>
    <row r="11">
      <c r="A11" s="8" t="s">
        <v>341</v>
      </c>
      <c r="B11" s="28">
        <f>Assumptions!B11*Assumptions!B5*Assumptions!B6</f>
        <v>2080000</v>
      </c>
      <c r="C11" s="14"/>
      <c r="D11" s="3" t="s">
        <v>342</v>
      </c>
    </row>
    <row r="12">
      <c r="A12" s="8" t="s">
        <v>343</v>
      </c>
      <c r="B12" s="28">
        <f>B10-B11</f>
        <v>2080000</v>
      </c>
      <c r="C12" s="14"/>
      <c r="D12" s="3" t="s">
        <v>344</v>
      </c>
    </row>
    <row r="13">
      <c r="A13" s="8" t="s">
        <v>345</v>
      </c>
      <c r="B13" s="40">
        <f>Assumptions!B12</f>
        <v>8</v>
      </c>
      <c r="C13" s="40">
        <f>Assumptions!B13</f>
        <v>2</v>
      </c>
      <c r="D13" s="3" t="s">
        <v>346</v>
      </c>
    </row>
    <row r="15">
      <c r="A15" s="4" t="s">
        <v>347</v>
      </c>
      <c r="B15" s="6"/>
      <c r="C15" s="6"/>
      <c r="D15" s="6"/>
    </row>
    <row r="16">
      <c r="A16" s="8" t="s">
        <v>348</v>
      </c>
      <c r="B16" s="41">
        <f>Assumptions!B28*Assumptions!B5</f>
        <v>30</v>
      </c>
      <c r="C16" s="41">
        <f>Assumptions!B29*Assumptions!B5</f>
        <v>50</v>
      </c>
      <c r="D16" s="3" t="s">
        <v>349</v>
      </c>
    </row>
    <row r="17">
      <c r="A17" s="8" t="s">
        <v>350</v>
      </c>
      <c r="B17" s="41">
        <f>Assumptions!B30*12</f>
        <v>60</v>
      </c>
      <c r="C17" s="14"/>
      <c r="D17" s="3" t="s">
        <v>351</v>
      </c>
    </row>
    <row r="18">
      <c r="A18" s="8" t="s">
        <v>352</v>
      </c>
      <c r="B18" s="28">
        <f>B17*Assumptions!B31</f>
        <v>3000000</v>
      </c>
      <c r="C18" s="14"/>
      <c r="D18" s="3" t="s">
        <v>353</v>
      </c>
    </row>
    <row r="19">
      <c r="A19" s="8" t="s">
        <v>354</v>
      </c>
      <c r="B19" s="28">
        <f>B17*Assumptions!B31*Assumptions!B32</f>
        <v>600000</v>
      </c>
      <c r="C19" s="14"/>
      <c r="D19" s="3" t="s">
        <v>355</v>
      </c>
    </row>
    <row r="21" ht="15.75" customHeight="1">
      <c r="A21" s="4" t="s">
        <v>356</v>
      </c>
      <c r="B21" s="6"/>
      <c r="C21" s="6"/>
      <c r="D21" s="6"/>
    </row>
    <row r="22" ht="15.75" customHeight="1">
      <c r="A22" s="8" t="s">
        <v>357</v>
      </c>
      <c r="B22" s="42">
        <f>Assumptions!B35</f>
        <v>0.05</v>
      </c>
      <c r="C22" s="42">
        <f>Assumptions!B36</f>
        <v>0.06</v>
      </c>
      <c r="D22" s="3"/>
    </row>
    <row r="23" ht="15.75" customHeight="1">
      <c r="A23" s="8" t="s">
        <v>358</v>
      </c>
      <c r="B23" s="43">
        <f>1/Assumptions!B36</f>
        <v>16.66666667</v>
      </c>
      <c r="C23" s="43">
        <f>1/Assumptions!B35</f>
        <v>20</v>
      </c>
      <c r="D23" s="3" t="s">
        <v>362</v>
      </c>
    </row>
    <row r="24" ht="15.75" customHeight="1">
      <c r="A24" s="8" t="s">
        <v>364</v>
      </c>
      <c r="B24" s="28">
        <f>IF(Assumptions!B37="","enter revenue",Assumptions!B37*Assumptions!B40)</f>
        <v>15964000</v>
      </c>
      <c r="C24" s="28">
        <f>IF(Assumptions!B37="","enter revenue",Assumptions!B37*Assumptions!B41)</f>
        <v>21285333.33</v>
      </c>
      <c r="D24" s="3" t="s">
        <v>369</v>
      </c>
    </row>
    <row r="25" ht="15.75" customHeight="1">
      <c r="A25" s="8" t="s">
        <v>370</v>
      </c>
      <c r="B25" s="28">
        <f>IF(Assumptions!B37="","enter revenue",Assumptions!B37*Assumptions!B40*Assumptions!B35)</f>
        <v>798200</v>
      </c>
      <c r="C25" s="28">
        <f>IF(Assumptions!B37="","enter revenue",Assumptions!B37*Assumptions!B41*Assumptions!B36)</f>
        <v>1277120</v>
      </c>
      <c r="D25" s="3" t="s">
        <v>374</v>
      </c>
    </row>
    <row r="26" ht="15.75" customHeight="1"/>
    <row r="27" ht="15.75" customHeight="1">
      <c r="A27" s="4" t="s">
        <v>375</v>
      </c>
      <c r="B27" s="6"/>
      <c r="C27" s="6"/>
      <c r="D27" s="6"/>
    </row>
    <row r="28" ht="15.75" customHeight="1">
      <c r="A28" s="8" t="s">
        <v>377</v>
      </c>
      <c r="B28" s="44">
        <f>Assumptions!B5/Assumptions!B7</f>
        <v>8.333333333</v>
      </c>
      <c r="C28" s="14"/>
      <c r="D28" s="3" t="s">
        <v>379</v>
      </c>
    </row>
    <row r="29" ht="15.75" customHeight="1">
      <c r="A29" s="8" t="s">
        <v>381</v>
      </c>
      <c r="B29" s="46">
        <f>Assumptions!B38/B28</f>
        <v>150</v>
      </c>
      <c r="C29" s="46">
        <f>Assumptions!B39/B28</f>
        <v>180</v>
      </c>
      <c r="D29" s="3" t="s">
        <v>385</v>
      </c>
    </row>
    <row r="30" ht="15.75" customHeight="1">
      <c r="A30" s="8" t="s">
        <v>387</v>
      </c>
      <c r="B30" s="46">
        <f>B29-Assumptions!B7</f>
        <v>30</v>
      </c>
      <c r="C30" s="46">
        <f>C29-Assumptions!B7</f>
        <v>60</v>
      </c>
      <c r="D30" s="3"/>
    </row>
    <row r="31" ht="15.75" customHeight="1">
      <c r="A31" s="8" t="s">
        <v>390</v>
      </c>
      <c r="B31" s="28">
        <f>B30*Assumptions!B19</f>
        <v>1174500</v>
      </c>
      <c r="C31" s="28">
        <f>C30*Assumptions!B19</f>
        <v>2349000</v>
      </c>
      <c r="D31" s="3" t="s">
        <v>393</v>
      </c>
    </row>
    <row r="32" ht="15.75" customHeight="1">
      <c r="A32" s="8" t="s">
        <v>394</v>
      </c>
      <c r="B32" s="28">
        <f>(Assumptions!B10-Assumptions!B11)*Assumptions!B38*Assumptions!B6</f>
        <v>2600000</v>
      </c>
      <c r="C32" s="28">
        <f>(Assumptions!B10-Assumptions!B11)*Assumptions!B39*Assumptions!B6</f>
        <v>3120000</v>
      </c>
      <c r="D32" s="3" t="s">
        <v>399</v>
      </c>
    </row>
    <row r="33" ht="15.75" customHeight="1"/>
    <row r="34" ht="15.75" customHeight="1">
      <c r="A34" s="4" t="s">
        <v>400</v>
      </c>
      <c r="B34" s="6"/>
      <c r="C34" s="6"/>
      <c r="D34" s="6"/>
    </row>
    <row r="35" ht="15.75" customHeight="1">
      <c r="A35" s="8" t="s">
        <v>401</v>
      </c>
      <c r="B35" s="28">
        <f>Assumptions!B46</f>
        <v>46460</v>
      </c>
      <c r="C35" s="14"/>
      <c r="D35" s="3" t="s">
        <v>402</v>
      </c>
    </row>
    <row r="36" ht="15.75" customHeight="1">
      <c r="A36" s="8" t="s">
        <v>403</v>
      </c>
      <c r="B36" s="48">
        <f>Assumptions!B46/B12*365</f>
        <v>8.152836538</v>
      </c>
      <c r="C36" s="14"/>
      <c r="D36" s="3"/>
    </row>
    <row r="37" ht="15.75" customHeight="1">
      <c r="A37" s="8" t="s">
        <v>407</v>
      </c>
      <c r="B37" s="28">
        <f>B12-Assumptions!B46</f>
        <v>2033540</v>
      </c>
      <c r="C37" s="14"/>
      <c r="D37" s="3"/>
    </row>
    <row r="38" ht="15.75" customHeight="1">
      <c r="A38" s="8" t="s">
        <v>410</v>
      </c>
      <c r="B38" s="28">
        <f>B32-Assumptions!B46</f>
        <v>2553540</v>
      </c>
      <c r="C38" s="28">
        <f>C32-Assumptions!B46</f>
        <v>3073540</v>
      </c>
      <c r="D38" s="3" t="s">
        <v>413</v>
      </c>
    </row>
    <row r="39" ht="15.75" customHeight="1">
      <c r="A39" s="2" t="s">
        <v>414</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39:D39"/>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8.0"/>
    <col customWidth="1" min="2" max="3" width="20.0"/>
    <col customWidth="1" min="4" max="4" width="40.0"/>
    <col customWidth="1" min="5" max="26" width="8.71"/>
  </cols>
  <sheetData>
    <row r="1">
      <c r="A1" s="1" t="s">
        <v>359</v>
      </c>
    </row>
    <row r="2">
      <c r="A2" s="2" t="s">
        <v>360</v>
      </c>
    </row>
    <row r="4">
      <c r="A4" s="4" t="s">
        <v>361</v>
      </c>
      <c r="B4" s="6"/>
      <c r="C4" s="6"/>
    </row>
    <row r="5">
      <c r="B5" s="2" t="s">
        <v>363</v>
      </c>
      <c r="C5" s="2" t="s">
        <v>365</v>
      </c>
    </row>
    <row r="6">
      <c r="A6" s="8" t="s">
        <v>366</v>
      </c>
      <c r="B6" s="18">
        <f>Assumptions!B46</f>
        <v>46460</v>
      </c>
      <c r="C6" s="18">
        <f>Assumptions!B46</f>
        <v>46460</v>
      </c>
      <c r="D6" s="3" t="s">
        <v>367</v>
      </c>
    </row>
    <row r="7">
      <c r="A7" s="8" t="s">
        <v>368</v>
      </c>
      <c r="B7" s="18">
        <f>Assumptions!B52</f>
        <v>3250</v>
      </c>
      <c r="C7" s="18">
        <f>Assumptions!B53</f>
        <v>4500</v>
      </c>
      <c r="D7" s="3" t="s">
        <v>371</v>
      </c>
    </row>
    <row r="8">
      <c r="A8" s="8" t="s">
        <v>372</v>
      </c>
      <c r="B8" s="28">
        <f t="shared" ref="B8:C8" si="1">B6+B7</f>
        <v>49710</v>
      </c>
      <c r="C8" s="28">
        <f t="shared" si="1"/>
        <v>50960</v>
      </c>
      <c r="D8" s="3"/>
    </row>
    <row r="10">
      <c r="A10" s="4" t="s">
        <v>373</v>
      </c>
      <c r="B10" s="6"/>
      <c r="C10" s="6"/>
    </row>
    <row r="11">
      <c r="A11" s="8" t="s">
        <v>376</v>
      </c>
      <c r="B11" s="18">
        <f>Assumptions!B54*12</f>
        <v>5544</v>
      </c>
      <c r="C11" s="18">
        <f>Assumptions!B55*12</f>
        <v>8400</v>
      </c>
      <c r="D11" s="3" t="s">
        <v>378</v>
      </c>
    </row>
    <row r="12">
      <c r="A12" s="8" t="s">
        <v>380</v>
      </c>
      <c r="B12" s="18">
        <f>Assumptions!B64</f>
        <v>87750</v>
      </c>
      <c r="C12" s="18">
        <f>Assumptions!B65</f>
        <v>94500</v>
      </c>
      <c r="D12" s="45" t="s">
        <v>382</v>
      </c>
    </row>
    <row r="13">
      <c r="A13" s="8" t="s">
        <v>383</v>
      </c>
      <c r="B13" s="28">
        <f t="shared" ref="B13:C13" si="2">B11+B12</f>
        <v>93294</v>
      </c>
      <c r="C13" s="28">
        <f t="shared" si="2"/>
        <v>102900</v>
      </c>
      <c r="D13" s="3"/>
    </row>
    <row r="15">
      <c r="A15" s="4" t="s">
        <v>384</v>
      </c>
      <c r="B15" s="6"/>
      <c r="C15" s="6"/>
    </row>
    <row r="16">
      <c r="A16" s="8" t="s">
        <v>386</v>
      </c>
      <c r="B16" s="18">
        <f>Calculations!B12</f>
        <v>2080000</v>
      </c>
      <c r="C16" s="18">
        <f>Calculations!B12</f>
        <v>2080000</v>
      </c>
      <c r="D16" s="3" t="s">
        <v>388</v>
      </c>
    </row>
    <row r="17">
      <c r="A17" s="8" t="s">
        <v>389</v>
      </c>
      <c r="B17" s="18">
        <f t="shared" ref="B17:C17" si="3">-B6</f>
        <v>-46460</v>
      </c>
      <c r="C17" s="18">
        <f t="shared" si="3"/>
        <v>-46460</v>
      </c>
      <c r="D17" s="3"/>
    </row>
    <row r="18">
      <c r="A18" s="8" t="s">
        <v>391</v>
      </c>
      <c r="B18" s="18">
        <f t="shared" ref="B18:C18" si="4">-B7</f>
        <v>-3250</v>
      </c>
      <c r="C18" s="18">
        <f t="shared" si="4"/>
        <v>-4500</v>
      </c>
      <c r="D18" s="3"/>
    </row>
    <row r="19">
      <c r="A19" s="8" t="s">
        <v>392</v>
      </c>
      <c r="B19" s="18">
        <f t="shared" ref="B19:C19" si="5">-B11</f>
        <v>-5544</v>
      </c>
      <c r="C19" s="18">
        <f t="shared" si="5"/>
        <v>-8400</v>
      </c>
      <c r="D19" s="3"/>
    </row>
    <row r="20">
      <c r="A20" s="8" t="s">
        <v>395</v>
      </c>
      <c r="B20" s="18">
        <f t="shared" ref="B20:C20" si="6">-B12</f>
        <v>-87750</v>
      </c>
      <c r="C20" s="18">
        <f t="shared" si="6"/>
        <v>-94500</v>
      </c>
      <c r="D20" s="3"/>
    </row>
    <row r="21" ht="15.75" customHeight="1">
      <c r="A21" s="8" t="s">
        <v>396</v>
      </c>
      <c r="B21" s="28">
        <f t="shared" ref="B21:C21" si="7">SUM(B16:B20)</f>
        <v>1936996</v>
      </c>
      <c r="C21" s="28">
        <f t="shared" si="7"/>
        <v>1926140</v>
      </c>
      <c r="D21" s="3" t="s">
        <v>397</v>
      </c>
    </row>
    <row r="22" ht="15.75" customHeight="1">
      <c r="A22" s="8" t="s">
        <v>398</v>
      </c>
      <c r="B22" s="47">
        <f t="shared" ref="B22:C22" si="8">(B8+B13)/B16*365</f>
        <v>25.09445192</v>
      </c>
      <c r="C22" s="47">
        <f t="shared" si="8"/>
        <v>26.99947115</v>
      </c>
      <c r="D22" s="3" t="s">
        <v>404</v>
      </c>
    </row>
    <row r="23" ht="15.75" customHeight="1"/>
    <row r="24" ht="15.75" customHeight="1">
      <c r="A24" s="4" t="s">
        <v>405</v>
      </c>
      <c r="B24" s="6"/>
      <c r="C24" s="6"/>
    </row>
    <row r="25" ht="15.75" customHeight="1">
      <c r="A25" s="8" t="s">
        <v>406</v>
      </c>
      <c r="B25" s="18">
        <f t="shared" ref="B25:C25" si="9">B16*3</f>
        <v>6240000</v>
      </c>
      <c r="C25" s="18">
        <f t="shared" si="9"/>
        <v>6240000</v>
      </c>
      <c r="D25" s="3" t="s">
        <v>408</v>
      </c>
    </row>
    <row r="26" ht="15.75" customHeight="1">
      <c r="A26" s="8" t="s">
        <v>409</v>
      </c>
      <c r="B26" s="18">
        <f t="shared" ref="B26:C26" si="10">-B8</f>
        <v>-49710</v>
      </c>
      <c r="C26" s="18">
        <f t="shared" si="10"/>
        <v>-50960</v>
      </c>
      <c r="D26" s="3"/>
    </row>
    <row r="27" ht="15.75" customHeight="1">
      <c r="A27" s="8" t="s">
        <v>411</v>
      </c>
      <c r="B27" s="18">
        <f t="shared" ref="B27:C27" si="11">-B13*3</f>
        <v>-279882</v>
      </c>
      <c r="C27" s="18">
        <f t="shared" si="11"/>
        <v>-308700</v>
      </c>
      <c r="D27" s="3"/>
    </row>
    <row r="28" ht="15.75" customHeight="1">
      <c r="A28" s="8" t="s">
        <v>412</v>
      </c>
      <c r="B28" s="28">
        <f t="shared" ref="B28:C28" si="12">SUM(B25:B27)</f>
        <v>5910408</v>
      </c>
      <c r="C28" s="28">
        <f t="shared" si="12"/>
        <v>5880340</v>
      </c>
      <c r="D28" s="3"/>
    </row>
    <row r="29" ht="15.75" customHeight="1"/>
    <row r="30" ht="15.75" customHeight="1">
      <c r="A30" s="4" t="s">
        <v>415</v>
      </c>
      <c r="B30" s="6"/>
      <c r="C30" s="6"/>
    </row>
    <row r="31" ht="15.75" customHeight="1">
      <c r="A31" s="8" t="s">
        <v>416</v>
      </c>
      <c r="B31" s="18">
        <f>'n8n Running Costs'!C27</f>
        <v>20000</v>
      </c>
      <c r="C31" s="18">
        <f>'n8n Running Costs'!C28</f>
        <v>40000</v>
      </c>
      <c r="D31" s="3" t="s">
        <v>417</v>
      </c>
    </row>
    <row r="32" ht="15.75" customHeight="1">
      <c r="A32" s="8" t="s">
        <v>418</v>
      </c>
      <c r="B32" s="18">
        <f>'n8n Running Costs'!C29</f>
        <v>11000</v>
      </c>
      <c r="C32" s="18">
        <f>'n8n Running Costs'!C30</f>
        <v>30000</v>
      </c>
      <c r="D32" s="3" t="s">
        <v>419</v>
      </c>
    </row>
    <row r="33" ht="15.75" customHeight="1">
      <c r="A33" s="2" t="s">
        <v>420</v>
      </c>
    </row>
    <row r="34" ht="15.75" customHeight="1"/>
    <row r="35" ht="15.75" customHeight="1">
      <c r="A35" s="2" t="s">
        <v>421</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2:D2"/>
    <mergeCell ref="A33:D33"/>
    <mergeCell ref="A35:D35"/>
  </mergeCells>
  <printOptions/>
  <pageMargins bottom="1.0" footer="0.0" header="0.0" left="0.75" right="0.75" top="1.0"/>
  <pageSetup fitToHeight="0" orientation="landscape"/>
  <drawing r:id="rId1"/>
</worksheet>
</file>